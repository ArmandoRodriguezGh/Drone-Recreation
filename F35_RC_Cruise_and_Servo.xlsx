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ruise Summary" sheetId="2" state="visible" r:id="rId4"/>
    <sheet name="Speed Sweep" sheetId="3" state="visible" r:id="rId5"/>
    <sheet name="XFOIL Reference" sheetId="4" state="visible" r:id="rId6"/>
    <sheet name="Servo Siz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<sst xmlns="http://schemas.openxmlformats.org/spreadsheetml/2006/main" count="160" uniqueCount="132">
  <si>
    <t xml:space="preserve">F-35 RC airframe - cruise, drag and servo sizing inputs</t>
  </si>
  <si>
    <t xml:space="preserve">Blue = editable input. Black = formula. Edit blue cells and every sheet recalculates.</t>
  </si>
  <si>
    <t xml:space="preserve">Parameter</t>
  </si>
  <si>
    <t xml:space="preserve">Value</t>
  </si>
  <si>
    <t xml:space="preserve">Unit</t>
  </si>
  <si>
    <t xml:space="preserve">Source / note</t>
  </si>
  <si>
    <t xml:space="preserve">All-up mass</t>
  </si>
  <si>
    <t xml:space="preserve">kg</t>
  </si>
  <si>
    <t xml:space="preserve">Estimated build mass (research paper, Sec. 2)</t>
  </si>
  <si>
    <t xml:space="preserve">Gravity g</t>
  </si>
  <si>
    <t xml:space="preserve">m/s^2</t>
  </si>
  <si>
    <t xml:space="preserve">Standard</t>
  </si>
  <si>
    <t xml:space="preserve">Weight W</t>
  </si>
  <si>
    <t xml:space="preserve">N</t>
  </si>
  <si>
    <t xml:space="preserve">Formula</t>
  </si>
  <si>
    <t xml:space="preserve">Air density rho</t>
  </si>
  <si>
    <t xml:space="preserve">kg/m^3</t>
  </si>
  <si>
    <t xml:space="preserve">Sea-level ISA</t>
  </si>
  <si>
    <t xml:space="preserve">Wing reference area S</t>
  </si>
  <si>
    <t xml:space="preserve">m^2</t>
  </si>
  <si>
    <t xml:space="preserve">CAD planform, trapezoid through fuselage</t>
  </si>
  <si>
    <t xml:space="preserve">Wing span b</t>
  </si>
  <si>
    <t xml:space="preserve">m</t>
  </si>
  <si>
    <t xml:space="preserve">CAD</t>
  </si>
  <si>
    <t xml:space="preserve">Aspect ratio AR</t>
  </si>
  <si>
    <t xml:space="preserve">-</t>
  </si>
  <si>
    <t xml:space="preserve">Oswald efficiency e</t>
  </si>
  <si>
    <t xml:space="preserve">Assumed (low-AR swept wing)</t>
  </si>
  <si>
    <t xml:space="preserve">Induced drag factor K</t>
  </si>
  <si>
    <t xml:space="preserve">CD0 as printed (rough)</t>
  </si>
  <si>
    <t xml:space="preserve">XFOIL tripped polars + Raymer build-up, ~Re 200k</t>
  </si>
  <si>
    <t xml:space="preserve">CD0 sanded smooth</t>
  </si>
  <si>
    <t xml:space="preserve">XFOIL free-transition polars + Raymer build-up, ~Re 200k</t>
  </si>
  <si>
    <t xml:space="preserve">CLmax (3D)</t>
  </si>
  <si>
    <t xml:space="preserve">XFOIL NACA 0006 leading-edge bubble stall, sweep-corrected</t>
  </si>
  <si>
    <t xml:space="preserve">EDF static thrust T0</t>
  </si>
  <si>
    <t xml:space="preserve">gf</t>
  </si>
  <si>
    <t xml:space="preserve">50 mm EDF class (recommended unit)</t>
  </si>
  <si>
    <t xml:space="preserve">EDF jet velocity Ve</t>
  </si>
  <si>
    <t xml:space="preserve">m/s</t>
  </si>
  <si>
    <t xml:space="preserve">Momentum theory, Ve = sqrt(T0/(rho*A))</t>
  </si>
  <si>
    <t xml:space="preserve">m/s to mph</t>
  </si>
  <si>
    <t xml:space="preserve">mph per m/s</t>
  </si>
  <si>
    <t xml:space="preserve">Conversion</t>
  </si>
  <si>
    <t xml:space="preserve">Best-range factor</t>
  </si>
  <si>
    <t xml:space="preserve">x Vmd</t>
  </si>
  <si>
    <t xml:space="preserve">Jet max-range speed = 3^(1/4) x min-drag speed</t>
  </si>
  <si>
    <t xml:space="preserve">Cruise speed answer - one rear motor, 100% horizontal thrust</t>
  </si>
  <si>
    <t xml:space="preserve">Closed-form results from the Inputs sheet (parabolic polar). In level cruise L = W and T = D; drag only equals lift at very high speed.</t>
  </si>
  <si>
    <t xml:space="preserve">Condition</t>
  </si>
  <si>
    <t xml:space="preserve">Speed (m/s)</t>
  </si>
  <si>
    <t xml:space="preserve">Speed (mph)</t>
  </si>
  <si>
    <t xml:space="preserve">Thrust needed, as printed (gf)</t>
  </si>
  <si>
    <t xml:space="preserve">Thrust needed, smooth (gf)</t>
  </si>
  <si>
    <t xml:space="preserve">Meaning</t>
  </si>
  <si>
    <t xml:space="preserve">Stall speed Vs</t>
  </si>
  <si>
    <t xml:space="preserve">Below this the wing cannot carry the weight; no horizontal thrust helps</t>
  </si>
  <si>
    <t xml:space="preserve">Safe minimum 1.2 Vs</t>
  </si>
  <si>
    <t xml:space="preserve">Slowest speed to fly with a margin</t>
  </si>
  <si>
    <t xml:space="preserve">Min-thrust cruise (rough), Vmd</t>
  </si>
  <si>
    <t xml:space="preserve">Lowest thrust that keeps it airborne - economy cruise</t>
  </si>
  <si>
    <t xml:space="preserve">Best-range cruise (rough), 1.316 Vmd</t>
  </si>
  <si>
    <t xml:space="preserve">Most distance per battery</t>
  </si>
  <si>
    <t xml:space="preserve">Top level speed, 770 gf EDF (rough)</t>
  </si>
  <si>
    <t xml:space="preserve">Fastest speed where available thrust &gt;= drag (1 m/s resolution from sweep)</t>
  </si>
  <si>
    <t xml:space="preserve">Top level speed, 770 gf EDF (smooth)</t>
  </si>
  <si>
    <t xml:space="preserve">Same, sanded surfaces</t>
  </si>
  <si>
    <t xml:space="preserve">Drag = Lift speed (rough)</t>
  </si>
  <si>
    <t xml:space="preserve">Theoretical only: thrust must equal full weight; beyond fan capability and PLA structural limits</t>
  </si>
  <si>
    <t xml:space="preserve">Max L/D (rough)</t>
  </si>
  <si>
    <t xml:space="preserve">Max L/D (smooth)</t>
  </si>
  <si>
    <t xml:space="preserve">Min thrust / weight (rough)</t>
  </si>
  <si>
    <t xml:space="preserve">Note: these closed-form values use one CD0 per finish. The research paper's XFOIL model varies CD0 with Reynolds number, so it differs slightly (see XFOIL Reference sheet).</t>
  </si>
  <si>
    <t xml:space="preserve">Level flight (L = W) thrust required vs airspeed - parabolic polar CD = CD0 + K*CL^2, all thrust horizontal, no duct losses</t>
  </si>
  <si>
    <t xml:space="preserve">V (m/s)</t>
  </si>
  <si>
    <t xml:space="preserve">V (mph)</t>
  </si>
  <si>
    <t xml:space="preserve">q (Pa)</t>
  </si>
  <si>
    <t xml:space="preserve">CL required</t>
  </si>
  <si>
    <t xml:space="preserve">CD rough</t>
  </si>
  <si>
    <t xml:space="preserve">Drag rough (gf)</t>
  </si>
  <si>
    <t xml:space="preserve">CD smooth</t>
  </si>
  <si>
    <t xml:space="preserve">Drag smooth (gf)</t>
  </si>
  <si>
    <t xml:space="preserve">EDF thrust avail (gf)</t>
  </si>
  <si>
    <t xml:space="preserve">L/D rough</t>
  </si>
  <si>
    <t xml:space="preserve">Flyable rough? (V if T&gt;=D)</t>
  </si>
  <si>
    <t xml:space="preserve">Flyable smooth? (V if T&gt;=D)</t>
  </si>
  <si>
    <t xml:space="preserve">D&gt;=L rough? (V)</t>
  </si>
  <si>
    <t xml:space="preserve">Above stall?</t>
  </si>
  <si>
    <t xml:space="preserve">Results quoted in the chat answer - XFOIL 6.99 polars + Reynolds-dependent Raymer drag build-up (perf.py), 478 g</t>
  </si>
  <si>
    <t xml:space="preserve">Thrust, as printed (gf)</t>
  </si>
  <si>
    <t xml:space="preserve">Thrust, smooth (gf)</t>
  </si>
  <si>
    <t xml:space="preserve">L/D as printed</t>
  </si>
  <si>
    <t xml:space="preserve">L/D smooth</t>
  </si>
  <si>
    <t xml:space="preserve">Stall</t>
  </si>
  <si>
    <t xml:space="preserve">Min-thrust cruise</t>
  </si>
  <si>
    <t xml:space="preserve">Best-range cruise</t>
  </si>
  <si>
    <t xml:space="preserve">Top speed, 770 gf EDF (rough)</t>
  </si>
  <si>
    <t xml:space="preserve">Top speed, 770 gf EDF (smooth)</t>
  </si>
  <si>
    <t xml:space="preserve">Drag = Lift (rough)</t>
  </si>
  <si>
    <t xml:space="preserve">Hardcoded values: copied from the XFOIL-based model output in this project (scratchpad xf/perf.py), not recalculated here.</t>
  </si>
  <si>
    <t xml:space="preserve">One-servo all-moving tail (stabilator) sizing</t>
  </si>
  <si>
    <t xml:space="preserve">A servo cannot produce lift or thrust - it only positions a surface. This sizes one servo driving both tail halves for pitch.</t>
  </si>
  <si>
    <t xml:space="preserve">Design airspeed (use top speed)</t>
  </si>
  <si>
    <t xml:space="preserve">Link: top level speed, rough</t>
  </si>
  <si>
    <t xml:space="preserve">Dynamic pressure q</t>
  </si>
  <si>
    <t xml:space="preserve">Pa</t>
  </si>
  <si>
    <t xml:space="preserve">Tail area per side</t>
  </si>
  <si>
    <t xml:space="preserve">CAD: 65.6 cm^2 exposed total / 2</t>
  </si>
  <si>
    <t xml:space="preserve">Tail chord (mean)</t>
  </si>
  <si>
    <t xml:space="preserve">Approximate, from CAD</t>
  </si>
  <si>
    <t xml:space="preserve">Hinge moment coefficient Ch</t>
  </si>
  <si>
    <t xml:space="preserve">Assumed: pivot ~5% chord from centre of pressure</t>
  </si>
  <si>
    <t xml:space="preserve">Surfaces on this servo</t>
  </si>
  <si>
    <t xml:space="preserve">Both halves linked</t>
  </si>
  <si>
    <t xml:space="preserve">Hinge moment, total</t>
  </si>
  <si>
    <t xml:space="preserve">N*m</t>
  </si>
  <si>
    <t xml:space="preserve">kg*cm</t>
  </si>
  <si>
    <t xml:space="preserve">Safety factor</t>
  </si>
  <si>
    <t xml:space="preserve">Gusts, linkage friction, CP uncertainty</t>
  </si>
  <si>
    <t xml:space="preserve">Required servo torque</t>
  </si>
  <si>
    <t xml:space="preserve">Candidate: Emax ES08MA II torque</t>
  </si>
  <si>
    <t xml:space="preserve">Aloft Hobbies listing</t>
  </si>
  <si>
    <t xml:space="preserve">Candidate weight</t>
  </si>
  <si>
    <t xml:space="preserve">g</t>
  </si>
  <si>
    <t xml:space="preserve">Torque margin</t>
  </si>
  <si>
    <t xml:space="preserve">x</t>
  </si>
  <si>
    <t xml:space="preserve">Formula (&gt;1 = adequate)</t>
  </si>
  <si>
    <t xml:space="preserve">Verdict</t>
  </si>
  <si>
    <t xml:space="preserve">Control caveat</t>
  </si>
  <si>
    <t xml:space="preserve">Pitch only</t>
  </si>
  <si>
    <t xml:space="preserve">One servo gives no roll/yaw control. Minimum practical: 2 servos mixed as tailerons.</t>
  </si>
  <si>
    <t xml:space="preserve">Source: https://alofthobbies.com/products/emax-es08maii-hv-servo-2kg-27-77-oz-in-10-sec-12-8-grams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</si>
</sst>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"/>
    <numFmt numFmtId="168" formatCode="0.00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2" t="s">
        <v>6</v>
      </c>
      <c r="B5" s="5" t="n">
        <v>0.478</v>
      </c>
      <c r="C5" s="2" t="s">
        <v>7</v>
      </c>
      <c r="D5" s="2" t="s">
        <v>8</v>
      </c>
    </row>
    <row r="6" customFormat="false" ht="15" hidden="false" customHeight="false" outlineLevel="0" collapsed="false">
      <c r="A6" s="2" t="s">
        <v>9</v>
      </c>
      <c r="B6" s="6" t="n">
        <v>9.81</v>
      </c>
      <c r="C6" s="2" t="s">
        <v>10</v>
      </c>
      <c r="D6" s="2" t="s">
        <v>11</v>
      </c>
    </row>
    <row r="7" customFormat="false" ht="15" hidden="false" customHeight="false" outlineLevel="0" collapsed="false">
      <c r="A7" s="2" t="s">
        <v>12</v>
      </c>
      <c r="B7" s="2" t="n">
        <f aca="false">B5*B6</f>
        <v>4.68918</v>
      </c>
      <c r="C7" s="2" t="s">
        <v>13</v>
      </c>
      <c r="D7" s="2" t="s">
        <v>14</v>
      </c>
    </row>
    <row r="8" customFormat="false" ht="15" hidden="false" customHeight="false" outlineLevel="0" collapsed="false">
      <c r="A8" s="2" t="s">
        <v>15</v>
      </c>
      <c r="B8" s="6" t="n">
        <v>1.225</v>
      </c>
      <c r="C8" s="2" t="s">
        <v>16</v>
      </c>
      <c r="D8" s="2" t="s">
        <v>17</v>
      </c>
    </row>
    <row r="9" customFormat="false" ht="15" hidden="false" customHeight="false" outlineLevel="0" collapsed="false">
      <c r="A9" s="2" t="s">
        <v>18</v>
      </c>
      <c r="B9" s="6" t="n">
        <v>0.03655</v>
      </c>
      <c r="C9" s="2" t="s">
        <v>19</v>
      </c>
      <c r="D9" s="2" t="s">
        <v>20</v>
      </c>
    </row>
    <row r="10" customFormat="false" ht="15" hidden="false" customHeight="false" outlineLevel="0" collapsed="false">
      <c r="A10" s="2" t="s">
        <v>21</v>
      </c>
      <c r="B10" s="6" t="n">
        <v>0.305</v>
      </c>
      <c r="C10" s="2" t="s">
        <v>22</v>
      </c>
      <c r="D10" s="2" t="s">
        <v>23</v>
      </c>
    </row>
    <row r="11" customFormat="false" ht="15" hidden="false" customHeight="false" outlineLevel="0" collapsed="false">
      <c r="A11" s="2" t="s">
        <v>24</v>
      </c>
      <c r="B11" s="2" t="n">
        <f aca="false">B10^2/B9</f>
        <v>2.54514363885089</v>
      </c>
      <c r="C11" s="2" t="s">
        <v>25</v>
      </c>
      <c r="D11" s="2" t="s">
        <v>14</v>
      </c>
    </row>
    <row r="12" customFormat="false" ht="15" hidden="false" customHeight="false" outlineLevel="0" collapsed="false">
      <c r="A12" s="2" t="s">
        <v>26</v>
      </c>
      <c r="B12" s="6" t="n">
        <v>0.75</v>
      </c>
      <c r="C12" s="2" t="s">
        <v>25</v>
      </c>
      <c r="D12" s="2" t="s">
        <v>27</v>
      </c>
    </row>
    <row r="13" customFormat="false" ht="15" hidden="false" customHeight="false" outlineLevel="0" collapsed="false">
      <c r="A13" s="2" t="s">
        <v>28</v>
      </c>
      <c r="B13" s="2" t="n">
        <f aca="false">1/(PI()*B12*B11)</f>
        <v>0.166754117567214</v>
      </c>
      <c r="C13" s="2" t="s">
        <v>25</v>
      </c>
      <c r="D13" s="2" t="s">
        <v>14</v>
      </c>
    </row>
    <row r="14" customFormat="false" ht="15" hidden="false" customHeight="false" outlineLevel="0" collapsed="false">
      <c r="A14" s="2" t="s">
        <v>29</v>
      </c>
      <c r="B14" s="6" t="n">
        <v>0.029</v>
      </c>
      <c r="C14" s="2" t="s">
        <v>25</v>
      </c>
      <c r="D14" s="2" t="s">
        <v>30</v>
      </c>
    </row>
    <row r="15" customFormat="false" ht="15" hidden="false" customHeight="false" outlineLevel="0" collapsed="false">
      <c r="A15" s="2" t="s">
        <v>31</v>
      </c>
      <c r="B15" s="6" t="n">
        <v>0.0185</v>
      </c>
      <c r="C15" s="2" t="s">
        <v>25</v>
      </c>
      <c r="D15" s="2" t="s">
        <v>32</v>
      </c>
    </row>
    <row r="16" customFormat="false" ht="15" hidden="false" customHeight="false" outlineLevel="0" collapsed="false">
      <c r="A16" s="2" t="s">
        <v>33</v>
      </c>
      <c r="B16" s="6" t="n">
        <v>0.65</v>
      </c>
      <c r="C16" s="2" t="s">
        <v>25</v>
      </c>
      <c r="D16" s="2" t="s">
        <v>34</v>
      </c>
    </row>
    <row r="17" customFormat="false" ht="15" hidden="false" customHeight="false" outlineLevel="0" collapsed="false">
      <c r="A17" s="2" t="s">
        <v>35</v>
      </c>
      <c r="B17" s="6" t="n">
        <v>770</v>
      </c>
      <c r="C17" s="2" t="s">
        <v>36</v>
      </c>
      <c r="D17" s="2" t="s">
        <v>37</v>
      </c>
    </row>
    <row r="18" customFormat="false" ht="15" hidden="false" customHeight="false" outlineLevel="0" collapsed="false">
      <c r="A18" s="2" t="s">
        <v>38</v>
      </c>
      <c r="B18" s="6" t="n">
        <v>62.08</v>
      </c>
      <c r="C18" s="2" t="s">
        <v>39</v>
      </c>
      <c r="D18" s="2" t="s">
        <v>40</v>
      </c>
    </row>
    <row r="19" customFormat="false" ht="15" hidden="false" customHeight="false" outlineLevel="0" collapsed="false">
      <c r="A19" s="2" t="s">
        <v>41</v>
      </c>
      <c r="B19" s="6" t="n">
        <v>2.23694</v>
      </c>
      <c r="C19" s="2" t="s">
        <v>42</v>
      </c>
      <c r="D19" s="2" t="s">
        <v>43</v>
      </c>
    </row>
    <row r="20" customFormat="false" ht="15" hidden="false" customHeight="false" outlineLevel="0" collapsed="false">
      <c r="A20" s="2" t="s">
        <v>44</v>
      </c>
      <c r="B20" s="6" t="n">
        <v>1.316</v>
      </c>
      <c r="C20" s="2" t="s">
        <v>45</v>
      </c>
      <c r="D20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3"/>
    <col collapsed="false" customWidth="true" hidden="false" outlineLevel="0" max="5" min="4" style="0" width="1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6.85" hidden="false" customHeight="false" outlineLevel="0" collapsed="false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54</v>
      </c>
    </row>
    <row r="5" customFormat="false" ht="15" hidden="false" customHeight="false" outlineLevel="0" collapsed="false">
      <c r="A5" s="2" t="s">
        <v>55</v>
      </c>
      <c r="B5" s="7" t="n">
        <f aca="false">SQRT(2*Inputs!B7/(Inputs!B8*Inputs!B9*Inputs!B16))</f>
        <v>17.9512641073837</v>
      </c>
      <c r="C5" s="7" t="n">
        <f aca="false">B5*Inputs!$B$19</f>
        <v>40.1559007323709</v>
      </c>
      <c r="D5" s="7"/>
      <c r="E5" s="7"/>
      <c r="F5" s="2" t="s">
        <v>56</v>
      </c>
    </row>
    <row r="6" customFormat="false" ht="15" hidden="false" customHeight="false" outlineLevel="0" collapsed="false">
      <c r="A6" s="2" t="s">
        <v>57</v>
      </c>
      <c r="B6" s="7" t="n">
        <f aca="false">1.2*B5</f>
        <v>21.5415169288604</v>
      </c>
      <c r="C6" s="7" t="n">
        <f aca="false">B6*Inputs!$B$19</f>
        <v>48.1870808788451</v>
      </c>
      <c r="D6" s="7" t="n">
        <f aca="false">0.5*Inputs!$B$8*B6^2*Inputs!$B$9*(Inputs!$B$14+Inputs!$B$13*(Inputs!$B$7/(0.5*Inputs!$B$8*B6^2*Inputs!$B$9))^2)/Inputs!$B$6*1000</f>
        <v>66.6891784329986</v>
      </c>
      <c r="E6" s="7" t="n">
        <f aca="false">0.5*Inputs!$B$8*B6^2*Inputs!$B$9*(Inputs!$B$15+Inputs!$B$13*(Inputs!$B$7/(0.5*Inputs!$B$8*B6^2*Inputs!$B$9))^2)/Inputs!$B$6*1000</f>
        <v>55.5701630483832</v>
      </c>
      <c r="F6" s="2" t="s">
        <v>58</v>
      </c>
    </row>
    <row r="7" customFormat="false" ht="15" hidden="false" customHeight="false" outlineLevel="0" collapsed="false">
      <c r="A7" s="2" t="s">
        <v>59</v>
      </c>
      <c r="B7" s="7" t="n">
        <f aca="false">SQRT(2*Inputs!B7/(Inputs!B8*Inputs!B9))*(Inputs!B13/Inputs!B14)^0.25</f>
        <v>22.4115223023956</v>
      </c>
      <c r="C7" s="7" t="n">
        <f aca="false">B7*Inputs!$B$19</f>
        <v>50.1332306991208</v>
      </c>
      <c r="D7" s="7" t="n">
        <f aca="false">0.5*Inputs!$B$8*B7^2*Inputs!$B$9*(Inputs!$B$14+Inputs!$B$13*(Inputs!$B$7/(0.5*Inputs!$B$8*B7^2*Inputs!$B$9))^2)/Inputs!$B$6*1000</f>
        <v>66.4806373660359</v>
      </c>
      <c r="E7" s="7" t="n">
        <f aca="false">0.5*Inputs!$B$8*B7^2*Inputs!$B$9*(Inputs!$B$15+Inputs!$B$13*(Inputs!$B$7/(0.5*Inputs!$B$8*B7^2*Inputs!$B$9))^2)/Inputs!$B$6*1000</f>
        <v>54.4453495670121</v>
      </c>
      <c r="F7" s="2" t="s">
        <v>60</v>
      </c>
    </row>
    <row r="8" customFormat="false" ht="15" hidden="false" customHeight="false" outlineLevel="0" collapsed="false">
      <c r="A8" s="2" t="s">
        <v>61</v>
      </c>
      <c r="B8" s="7" t="n">
        <f aca="false">Inputs!B20*B7</f>
        <v>29.4935633499526</v>
      </c>
      <c r="C8" s="7" t="n">
        <f aca="false">B8*Inputs!$B$19</f>
        <v>65.975331600043</v>
      </c>
      <c r="D8" s="7" t="n">
        <f aca="false">0.5*Inputs!$B$8*B8^2*Inputs!$B$9*(Inputs!$B$14+Inputs!$B$13*(Inputs!$B$7/(0.5*Inputs!$B$8*B8^2*Inputs!$B$9))^2)/Inputs!$B$6*1000</f>
        <v>76.7609110240405</v>
      </c>
      <c r="E8" s="7" t="n">
        <f aca="false">0.5*Inputs!$B$8*B8^2*Inputs!$B$9*(Inputs!$B$15+Inputs!$B$13*(Inputs!$B$7/(0.5*Inputs!$B$8*B8^2*Inputs!$B$9))^2)/Inputs!$B$6*1000</f>
        <v>55.9175256375744</v>
      </c>
      <c r="F8" s="2" t="s">
        <v>62</v>
      </c>
    </row>
    <row r="9" customFormat="false" ht="15" hidden="false" customHeight="false" outlineLevel="0" collapsed="false">
      <c r="A9" s="2" t="s">
        <v>63</v>
      </c>
      <c r="B9" s="7" t="n">
        <f aca="false">MAX('Speed Sweep'!K4:K109)</f>
        <v>48</v>
      </c>
      <c r="C9" s="7" t="n">
        <f aca="false">B9*Inputs!$B$19</f>
        <v>107.37312</v>
      </c>
      <c r="D9" s="7" t="n">
        <f aca="false">0.5*Inputs!$B$8*B9^2*Inputs!$B$9*(Inputs!$B$14+Inputs!$B$13*(Inputs!$B$7/(0.5*Inputs!$B$8*B9^2*Inputs!$B$9))^2)/Inputs!$B$6*1000</f>
        <v>159.723662979509</v>
      </c>
      <c r="E9" s="7"/>
      <c r="F9" s="2" t="s">
        <v>64</v>
      </c>
    </row>
    <row r="10" customFormat="false" ht="15" hidden="false" customHeight="false" outlineLevel="0" collapsed="false">
      <c r="A10" s="2" t="s">
        <v>65</v>
      </c>
      <c r="B10" s="7" t="n">
        <f aca="false">MAX('Speed Sweep'!L4:L109)</f>
        <v>52</v>
      </c>
      <c r="C10" s="7" t="n">
        <f aca="false">B10*Inputs!$B$19</f>
        <v>116.32088</v>
      </c>
      <c r="D10" s="7"/>
      <c r="E10" s="7" t="n">
        <f aca="false">0.5*Inputs!$B$8*B10^2*Inputs!$B$9*(Inputs!$B$15+Inputs!$B$13*(Inputs!$B$7/(0.5*Inputs!$B$8*B10^2*Inputs!$B$9))^2)/Inputs!$B$6*1000</f>
        <v>120.331579795025</v>
      </c>
      <c r="F10" s="2" t="s">
        <v>66</v>
      </c>
    </row>
    <row r="11" customFormat="false" ht="15" hidden="false" customHeight="false" outlineLevel="0" collapsed="false">
      <c r="A11" s="2" t="s">
        <v>67</v>
      </c>
      <c r="B11" s="7" t="n">
        <f aca="false">MIN('Speed Sweep'!M4:M109)</f>
        <v>85</v>
      </c>
      <c r="C11" s="7" t="n">
        <f aca="false">B11*Inputs!$B$19</f>
        <v>190.1399</v>
      </c>
      <c r="D11" s="7" t="n">
        <f aca="false">0.5*Inputs!$B$8*B11^2*Inputs!$B$9*(Inputs!$B$14+Inputs!$B$13*(Inputs!$B$7/(0.5*Inputs!$B$8*B11^2*Inputs!$B$9))^2)/Inputs!$B$6*1000</f>
        <v>480.456608907532</v>
      </c>
      <c r="E11" s="7"/>
      <c r="F11" s="2" t="s">
        <v>68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2" t="s">
        <v>69</v>
      </c>
      <c r="B13" s="7" t="n">
        <f aca="false">1/(2*SQRT(Inputs!B14*Inputs!B13))</f>
        <v>7.19006343709039</v>
      </c>
      <c r="C13" s="2"/>
      <c r="D13" s="2"/>
      <c r="E13" s="2"/>
      <c r="F13" s="2"/>
    </row>
    <row r="14" customFormat="false" ht="15" hidden="false" customHeight="false" outlineLevel="0" collapsed="false">
      <c r="A14" s="2" t="s">
        <v>70</v>
      </c>
      <c r="B14" s="7" t="n">
        <f aca="false">1/(2*SQRT(Inputs!B15*Inputs!B13))</f>
        <v>9.00214195127618</v>
      </c>
      <c r="C14" s="2"/>
      <c r="D14" s="2"/>
      <c r="E14" s="2"/>
      <c r="F14" s="2"/>
    </row>
    <row r="15" customFormat="false" ht="15" hidden="false" customHeight="false" outlineLevel="0" collapsed="false">
      <c r="A15" s="2" t="s">
        <v>71</v>
      </c>
      <c r="B15" s="8" t="n">
        <f aca="false">1/B13</f>
        <v>0.139080831309698</v>
      </c>
      <c r="C15" s="2"/>
      <c r="D15" s="2"/>
      <c r="E15" s="2"/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3" t="s">
        <v>72</v>
      </c>
      <c r="B17" s="2"/>
      <c r="C17" s="2"/>
      <c r="D17" s="2"/>
      <c r="E17" s="2"/>
      <c r="F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0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9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55" hidden="false" customHeight="false" outlineLevel="0" collapsed="false">
      <c r="A3" s="4" t="s">
        <v>74</v>
      </c>
      <c r="B3" s="4" t="s">
        <v>75</v>
      </c>
      <c r="C3" s="4" t="s">
        <v>76</v>
      </c>
      <c r="D3" s="4" t="s">
        <v>77</v>
      </c>
      <c r="E3" s="4" t="s">
        <v>78</v>
      </c>
      <c r="F3" s="4" t="s">
        <v>79</v>
      </c>
      <c r="G3" s="4" t="s">
        <v>80</v>
      </c>
      <c r="H3" s="4" t="s">
        <v>81</v>
      </c>
      <c r="I3" s="4" t="s">
        <v>82</v>
      </c>
      <c r="J3" s="4" t="s">
        <v>83</v>
      </c>
      <c r="K3" s="4" t="s">
        <v>84</v>
      </c>
      <c r="L3" s="4" t="s">
        <v>85</v>
      </c>
      <c r="M3" s="4" t="s">
        <v>86</v>
      </c>
      <c r="N3" s="4" t="s">
        <v>87</v>
      </c>
    </row>
    <row r="4" customFormat="false" ht="15" hidden="false" customHeight="false" outlineLevel="0" collapsed="false">
      <c r="A4" s="6" t="n">
        <v>15</v>
      </c>
      <c r="B4" s="7" t="n">
        <f aca="false">A4*Inputs!$B$19</f>
        <v>33.5541</v>
      </c>
      <c r="C4" s="10" t="n">
        <f aca="false">0.5*Inputs!$B$8*A4^2</f>
        <v>137.8125</v>
      </c>
      <c r="D4" s="11" t="n">
        <f aca="false">Inputs!$B$7/(C4*Inputs!$B$9)</f>
        <v>0.9309383288199</v>
      </c>
      <c r="E4" s="12" t="n">
        <f aca="false">Inputs!$B$14+Inputs!$B$13*D4^2</f>
        <v>0.173516817665868</v>
      </c>
      <c r="F4" s="7" t="n">
        <f aca="false">C4*Inputs!$B$9*E4/Inputs!$B$6*1000</f>
        <v>89.0940208138434</v>
      </c>
      <c r="G4" s="12" t="n">
        <f aca="false">Inputs!$B$15+Inputs!$B$13*D4^2</f>
        <v>0.163016817665868</v>
      </c>
      <c r="H4" s="7" t="n">
        <f aca="false">C4*Inputs!$B$9*G4/Inputs!$B$6*1000</f>
        <v>83.7026862381553</v>
      </c>
      <c r="I4" s="10" t="n">
        <f aca="false">MAX(0,Inputs!$B$17*(1-A4/Inputs!$B$18))</f>
        <v>583.949742268041</v>
      </c>
      <c r="J4" s="7" t="n">
        <f aca="false">D4/E4</f>
        <v>5.36511873225199</v>
      </c>
      <c r="K4" s="2" t="n">
        <f aca="false">IF(I4&gt;=F4,A4,0)</f>
        <v>15</v>
      </c>
      <c r="L4" s="2" t="n">
        <f aca="false">IF(I4&gt;=H4,A4,0)</f>
        <v>15</v>
      </c>
      <c r="M4" s="2" t="str">
        <f aca="false">IF(F4&gt;=Inputs!$B$5*1000,A4,"")</f>
        <v/>
      </c>
      <c r="N4" s="2" t="str">
        <f aca="false">IF(D4&lt;=Inputs!$B$16,"yes","STALL")</f>
        <v>STALL</v>
      </c>
    </row>
    <row r="5" customFormat="false" ht="15" hidden="false" customHeight="false" outlineLevel="0" collapsed="false">
      <c r="A5" s="6" t="n">
        <v>16</v>
      </c>
      <c r="B5" s="7" t="n">
        <f aca="false">A5*Inputs!$B$19</f>
        <v>35.79104</v>
      </c>
      <c r="C5" s="10" t="n">
        <f aca="false">0.5*Inputs!$B$8*A5^2</f>
        <v>156.8</v>
      </c>
      <c r="D5" s="11" t="n">
        <f aca="false">Inputs!$B$7/(C5*Inputs!$B$9)</f>
        <v>0.818207515564365</v>
      </c>
      <c r="E5" s="12" t="n">
        <f aca="false">Inputs!$B$14+Inputs!$B$13*D5^2</f>
        <v>0.140635801610329</v>
      </c>
      <c r="F5" s="7" t="n">
        <f aca="false">C5*Inputs!$B$9*E5/Inputs!$B$6*1000</f>
        <v>82.1599800673662</v>
      </c>
      <c r="G5" s="12" t="n">
        <f aca="false">Inputs!$B$15+Inputs!$B$13*D5^2</f>
        <v>0.130135801610329</v>
      </c>
      <c r="H5" s="7" t="n">
        <f aca="false">C5*Inputs!$B$9*G5/Inputs!$B$6*1000</f>
        <v>76.0258393945833</v>
      </c>
      <c r="I5" s="10" t="n">
        <f aca="false">MAX(0,Inputs!$B$17*(1-A5/Inputs!$B$18))</f>
        <v>571.546391752577</v>
      </c>
      <c r="J5" s="7" t="n">
        <f aca="false">D5/E5</f>
        <v>5.81791767242481</v>
      </c>
      <c r="K5" s="2" t="n">
        <f aca="false">IF(I5&gt;=F5,A5,0)</f>
        <v>16</v>
      </c>
      <c r="L5" s="2" t="n">
        <f aca="false">IF(I5&gt;=H5,A5,0)</f>
        <v>16</v>
      </c>
      <c r="M5" s="2" t="str">
        <f aca="false">IF(F5&gt;=Inputs!$B$5*1000,A5,"")</f>
        <v/>
      </c>
      <c r="N5" s="2" t="str">
        <f aca="false">IF(D5&lt;=Inputs!$B$16,"yes","STALL")</f>
        <v>STALL</v>
      </c>
    </row>
    <row r="6" customFormat="false" ht="15" hidden="false" customHeight="false" outlineLevel="0" collapsed="false">
      <c r="A6" s="6" t="n">
        <v>17</v>
      </c>
      <c r="B6" s="7" t="n">
        <f aca="false">A6*Inputs!$B$19</f>
        <v>38.02798</v>
      </c>
      <c r="C6" s="10" t="n">
        <f aca="false">0.5*Inputs!$B$8*A6^2</f>
        <v>177.0125</v>
      </c>
      <c r="D6" s="11" t="n">
        <f aca="false">Inputs!$B$7/(C6*Inputs!$B$9)</f>
        <v>0.724778975724836</v>
      </c>
      <c r="E6" s="12" t="n">
        <f aca="false">Inputs!$B$14+Inputs!$B$13*D6^2</f>
        <v>0.116596698965943</v>
      </c>
      <c r="F6" s="7" t="n">
        <f aca="false">C6*Inputs!$B$9*E6/Inputs!$B$6*1000</f>
        <v>76.8968526577131</v>
      </c>
      <c r="G6" s="12" t="n">
        <f aca="false">Inputs!$B$15+Inputs!$B$13*D6^2</f>
        <v>0.106096698965943</v>
      </c>
      <c r="H6" s="7" t="n">
        <f aca="false">C6*Inputs!$B$9*G6/Inputs!$B$6*1000</f>
        <v>69.9719829138293</v>
      </c>
      <c r="I6" s="10" t="n">
        <f aca="false">MAX(0,Inputs!$B$17*(1-A6/Inputs!$B$18))</f>
        <v>559.143041237113</v>
      </c>
      <c r="J6" s="7" t="n">
        <f aca="false">D6/E6</f>
        <v>6.21611917106278</v>
      </c>
      <c r="K6" s="2" t="n">
        <f aca="false">IF(I6&gt;=F6,A6,0)</f>
        <v>17</v>
      </c>
      <c r="L6" s="2" t="n">
        <f aca="false">IF(I6&gt;=H6,A6,0)</f>
        <v>17</v>
      </c>
      <c r="M6" s="2" t="str">
        <f aca="false">IF(F6&gt;=Inputs!$B$5*1000,A6,"")</f>
        <v/>
      </c>
      <c r="N6" s="2" t="str">
        <f aca="false">IF(D6&lt;=Inputs!$B$16,"yes","STALL")</f>
        <v>STALL</v>
      </c>
    </row>
    <row r="7" customFormat="false" ht="15" hidden="false" customHeight="false" outlineLevel="0" collapsed="false">
      <c r="A7" s="6" t="n">
        <v>18</v>
      </c>
      <c r="B7" s="7" t="n">
        <f aca="false">A7*Inputs!$B$19</f>
        <v>40.26492</v>
      </c>
      <c r="C7" s="10" t="n">
        <f aca="false">0.5*Inputs!$B$8*A7^2</f>
        <v>198.45</v>
      </c>
      <c r="D7" s="11" t="n">
        <f aca="false">Inputs!$B$7/(C7*Inputs!$B$9)</f>
        <v>0.646484950569375</v>
      </c>
      <c r="E7" s="12" t="n">
        <f aca="false">Inputs!$B$14+Inputs!$B$13*D7^2</f>
        <v>0.0986936813589254</v>
      </c>
      <c r="F7" s="7" t="n">
        <f aca="false">C7*Inputs!$B$9*E7/Inputs!$B$6*1000</f>
        <v>72.9724329205462</v>
      </c>
      <c r="G7" s="12" t="n">
        <f aca="false">Inputs!$B$15+Inputs!$B$13*D7^2</f>
        <v>0.0881936813589254</v>
      </c>
      <c r="H7" s="7" t="n">
        <f aca="false">C7*Inputs!$B$9*G7/Inputs!$B$6*1000</f>
        <v>65.2089111315554</v>
      </c>
      <c r="I7" s="10" t="n">
        <f aca="false">MAX(0,Inputs!$B$17*(1-A7/Inputs!$B$18))</f>
        <v>546.739690721649</v>
      </c>
      <c r="J7" s="7" t="n">
        <f aca="false">D7/E7</f>
        <v>6.55041884817594</v>
      </c>
      <c r="K7" s="2" t="n">
        <f aca="false">IF(I7&gt;=F7,A7,0)</f>
        <v>18</v>
      </c>
      <c r="L7" s="2" t="n">
        <f aca="false">IF(I7&gt;=H7,A7,0)</f>
        <v>18</v>
      </c>
      <c r="M7" s="2" t="str">
        <f aca="false">IF(F7&gt;=Inputs!$B$5*1000,A7,"")</f>
        <v/>
      </c>
      <c r="N7" s="2" t="str">
        <f aca="false">IF(D7&lt;=Inputs!$B$16,"yes","STALL")</f>
        <v>yes</v>
      </c>
    </row>
    <row r="8" customFormat="false" ht="15" hidden="false" customHeight="false" outlineLevel="0" collapsed="false">
      <c r="A8" s="6" t="n">
        <v>19</v>
      </c>
      <c r="B8" s="7" t="n">
        <f aca="false">A8*Inputs!$B$19</f>
        <v>42.50186</v>
      </c>
      <c r="C8" s="10" t="n">
        <f aca="false">0.5*Inputs!$B$8*A8^2</f>
        <v>221.1125</v>
      </c>
      <c r="D8" s="11" t="n">
        <f aca="false">Inputs!$B$7/(C8*Inputs!$B$9)</f>
        <v>0.580224720178608</v>
      </c>
      <c r="E8" s="12" t="n">
        <f aca="false">Inputs!$B$14+Inputs!$B$13*D8^2</f>
        <v>0.0851395622680501</v>
      </c>
      <c r="F8" s="7" t="n">
        <f aca="false">C8*Inputs!$B$9*E8/Inputs!$B$6*1000</f>
        <v>70.1395672207838</v>
      </c>
      <c r="G8" s="12" t="n">
        <f aca="false">Inputs!$B$15+Inputs!$B$13*D8^2</f>
        <v>0.0746395622680501</v>
      </c>
      <c r="H8" s="7" t="n">
        <f aca="false">C8*Inputs!$B$9*G8/Inputs!$B$6*1000</f>
        <v>61.4894704126798</v>
      </c>
      <c r="I8" s="10" t="n">
        <f aca="false">MAX(0,Inputs!$B$17*(1-A8/Inputs!$B$18))</f>
        <v>534.336340206186</v>
      </c>
      <c r="J8" s="7" t="n">
        <f aca="false">D8/E8</f>
        <v>6.81498359542713</v>
      </c>
      <c r="K8" s="2" t="n">
        <f aca="false">IF(I8&gt;=F8,A8,0)</f>
        <v>19</v>
      </c>
      <c r="L8" s="2" t="n">
        <f aca="false">IF(I8&gt;=H8,A8,0)</f>
        <v>19</v>
      </c>
      <c r="M8" s="2" t="str">
        <f aca="false">IF(F8&gt;=Inputs!$B$5*1000,A8,"")</f>
        <v/>
      </c>
      <c r="N8" s="2" t="str">
        <f aca="false">IF(D8&lt;=Inputs!$B$16,"yes","STALL")</f>
        <v>yes</v>
      </c>
    </row>
    <row r="9" customFormat="false" ht="15" hidden="false" customHeight="false" outlineLevel="0" collapsed="false">
      <c r="A9" s="6" t="n">
        <v>20</v>
      </c>
      <c r="B9" s="7" t="n">
        <f aca="false">A9*Inputs!$B$19</f>
        <v>44.7388</v>
      </c>
      <c r="C9" s="10" t="n">
        <f aca="false">0.5*Inputs!$B$8*A9^2</f>
        <v>245</v>
      </c>
      <c r="D9" s="11" t="n">
        <f aca="false">Inputs!$B$7/(C9*Inputs!$B$9)</f>
        <v>0.523652809961194</v>
      </c>
      <c r="E9" s="12" t="n">
        <f aca="false">Inputs!$B$14+Inputs!$B$13*D9^2</f>
        <v>0.0747260243395909</v>
      </c>
      <c r="F9" s="7" t="n">
        <f aca="false">C9*Inputs!$B$9*E9/Inputs!$B$6*1000</f>
        <v>68.2113013715547</v>
      </c>
      <c r="G9" s="12" t="n">
        <f aca="false">Inputs!$B$15+Inputs!$B$13*D9^2</f>
        <v>0.0642260243395909</v>
      </c>
      <c r="H9" s="7" t="n">
        <f aca="false">C9*Inputs!$B$9*G9/Inputs!$B$6*1000</f>
        <v>58.6267065703315</v>
      </c>
      <c r="I9" s="10" t="n">
        <f aca="false">MAX(0,Inputs!$B$17*(1-A9/Inputs!$B$18))</f>
        <v>521.932989690722</v>
      </c>
      <c r="J9" s="7" t="n">
        <f aca="false">D9/E9</f>
        <v>7.00763642371049</v>
      </c>
      <c r="K9" s="2" t="n">
        <f aca="false">IF(I9&gt;=F9,A9,0)</f>
        <v>20</v>
      </c>
      <c r="L9" s="2" t="n">
        <f aca="false">IF(I9&gt;=H9,A9,0)</f>
        <v>20</v>
      </c>
      <c r="M9" s="2" t="str">
        <f aca="false">IF(F9&gt;=Inputs!$B$5*1000,A9,"")</f>
        <v/>
      </c>
      <c r="N9" s="2" t="str">
        <f aca="false">IF(D9&lt;=Inputs!$B$16,"yes","STALL")</f>
        <v>yes</v>
      </c>
    </row>
    <row r="10" customFormat="false" ht="15" hidden="false" customHeight="false" outlineLevel="0" collapsed="false">
      <c r="A10" s="6" t="n">
        <v>21</v>
      </c>
      <c r="B10" s="7" t="n">
        <f aca="false">A10*Inputs!$B$19</f>
        <v>46.97574</v>
      </c>
      <c r="C10" s="10" t="n">
        <f aca="false">0.5*Inputs!$B$8*A10^2</f>
        <v>270.1125</v>
      </c>
      <c r="D10" s="11" t="n">
        <f aca="false">Inputs!$B$7/(C10*Inputs!$B$9)</f>
        <v>0.474968535112194</v>
      </c>
      <c r="E10" s="12" t="n">
        <f aca="false">Inputs!$B$14+Inputs!$B$13*D10^2</f>
        <v>0.0666189133865753</v>
      </c>
      <c r="F10" s="7" t="n">
        <f aca="false">C10*Inputs!$B$9*E10/Inputs!$B$6*1000</f>
        <v>67.0441055453516</v>
      </c>
      <c r="G10" s="12" t="n">
        <f aca="false">Inputs!$B$15+Inputs!$B$13*D10^2</f>
        <v>0.0561189133865753</v>
      </c>
      <c r="H10" s="7" t="n">
        <f aca="false">C10*Inputs!$B$9*G10/Inputs!$B$6*1000</f>
        <v>56.477089777003</v>
      </c>
      <c r="I10" s="10" t="n">
        <f aca="false">MAX(0,Inputs!$B$17*(1-A10/Inputs!$B$18))</f>
        <v>509.529639175258</v>
      </c>
      <c r="J10" s="7" t="n">
        <f aca="false">D10/E10</f>
        <v>7.12963497852409</v>
      </c>
      <c r="K10" s="2" t="n">
        <f aca="false">IF(I10&gt;=F10,A10,0)</f>
        <v>21</v>
      </c>
      <c r="L10" s="2" t="n">
        <f aca="false">IF(I10&gt;=H10,A10,0)</f>
        <v>21</v>
      </c>
      <c r="M10" s="2" t="str">
        <f aca="false">IF(F10&gt;=Inputs!$B$5*1000,A10,"")</f>
        <v/>
      </c>
      <c r="N10" s="2" t="str">
        <f aca="false">IF(D10&lt;=Inputs!$B$16,"yes","STALL")</f>
        <v>yes</v>
      </c>
    </row>
    <row r="11" customFormat="false" ht="15" hidden="false" customHeight="false" outlineLevel="0" collapsed="false">
      <c r="A11" s="6" t="n">
        <v>22</v>
      </c>
      <c r="B11" s="7" t="n">
        <f aca="false">A11*Inputs!$B$19</f>
        <v>49.21268</v>
      </c>
      <c r="C11" s="10" t="n">
        <f aca="false">0.5*Inputs!$B$8*A11^2</f>
        <v>296.45</v>
      </c>
      <c r="D11" s="11" t="n">
        <f aca="false">Inputs!$B$7/(C11*Inputs!$B$9)</f>
        <v>0.432770917323301</v>
      </c>
      <c r="E11" s="12" t="n">
        <f aca="false">Inputs!$B$14+Inputs!$B$13*D11^2</f>
        <v>0.0602314898842913</v>
      </c>
      <c r="F11" s="7" t="n">
        <f aca="false">C11*Inputs!$B$9*E11/Inputs!$B$6*1000</f>
        <v>66.5263099072419</v>
      </c>
      <c r="G11" s="12" t="n">
        <f aca="false">Inputs!$B$15+Inputs!$B$13*D11^2</f>
        <v>0.0497314898842913</v>
      </c>
      <c r="H11" s="7" t="n">
        <f aca="false">C11*Inputs!$B$9*G11/Inputs!$B$6*1000</f>
        <v>54.9289501977618</v>
      </c>
      <c r="I11" s="10" t="n">
        <f aca="false">MAX(0,Inputs!$B$17*(1-A11/Inputs!$B$18))</f>
        <v>497.126288659794</v>
      </c>
      <c r="J11" s="7" t="n">
        <f aca="false">D11/E11</f>
        <v>7.18512721758472</v>
      </c>
      <c r="K11" s="2" t="n">
        <f aca="false">IF(I11&gt;=F11,A11,0)</f>
        <v>22</v>
      </c>
      <c r="L11" s="2" t="n">
        <f aca="false">IF(I11&gt;=H11,A11,0)</f>
        <v>22</v>
      </c>
      <c r="M11" s="2" t="str">
        <f aca="false">IF(F11&gt;=Inputs!$B$5*1000,A11,"")</f>
        <v/>
      </c>
      <c r="N11" s="2" t="str">
        <f aca="false">IF(D11&lt;=Inputs!$B$16,"yes","STALL")</f>
        <v>yes</v>
      </c>
    </row>
    <row r="12" customFormat="false" ht="15" hidden="false" customHeight="false" outlineLevel="0" collapsed="false">
      <c r="A12" s="6" t="n">
        <v>23</v>
      </c>
      <c r="B12" s="7" t="n">
        <f aca="false">A12*Inputs!$B$19</f>
        <v>51.44962</v>
      </c>
      <c r="C12" s="10" t="n">
        <f aca="false">0.5*Inputs!$B$8*A12^2</f>
        <v>324.0125</v>
      </c>
      <c r="D12" s="11" t="n">
        <f aca="false">Inputs!$B$7/(C12*Inputs!$B$9)</f>
        <v>0.395956756114324</v>
      </c>
      <c r="E12" s="12" t="n">
        <f aca="false">Inputs!$B$14+Inputs!$B$13*D12^2</f>
        <v>0.0551440028242272</v>
      </c>
      <c r="F12" s="7" t="n">
        <f aca="false">C12*Inputs!$B$9*E12/Inputs!$B$6*1000</f>
        <v>66.5699800368352</v>
      </c>
      <c r="G12" s="12" t="n">
        <f aca="false">Inputs!$B$15+Inputs!$B$13*D12^2</f>
        <v>0.0446440028242272</v>
      </c>
      <c r="H12" s="7" t="n">
        <f aca="false">C12*Inputs!$B$9*G12/Inputs!$B$6*1000</f>
        <v>53.8943534122174</v>
      </c>
      <c r="I12" s="10" t="n">
        <f aca="false">MAX(0,Inputs!$B$17*(1-A12/Inputs!$B$18))</f>
        <v>484.72293814433</v>
      </c>
      <c r="J12" s="7" t="n">
        <f aca="false">D12/E12</f>
        <v>7.18041375009438</v>
      </c>
      <c r="K12" s="2" t="n">
        <f aca="false">IF(I12&gt;=F12,A12,0)</f>
        <v>23</v>
      </c>
      <c r="L12" s="2" t="n">
        <f aca="false">IF(I12&gt;=H12,A12,0)</f>
        <v>23</v>
      </c>
      <c r="M12" s="2" t="str">
        <f aca="false">IF(F12&gt;=Inputs!$B$5*1000,A12,"")</f>
        <v/>
      </c>
      <c r="N12" s="2" t="str">
        <f aca="false">IF(D12&lt;=Inputs!$B$16,"yes","STALL")</f>
        <v>yes</v>
      </c>
    </row>
    <row r="13" customFormat="false" ht="15" hidden="false" customHeight="false" outlineLevel="0" collapsed="false">
      <c r="A13" s="6" t="n">
        <v>24</v>
      </c>
      <c r="B13" s="7" t="n">
        <f aca="false">A13*Inputs!$B$19</f>
        <v>53.68656</v>
      </c>
      <c r="C13" s="10" t="n">
        <f aca="false">0.5*Inputs!$B$8*A13^2</f>
        <v>352.8</v>
      </c>
      <c r="D13" s="11" t="n">
        <f aca="false">Inputs!$B$7/(C13*Inputs!$B$9)</f>
        <v>0.363647784695274</v>
      </c>
      <c r="E13" s="12" t="n">
        <f aca="false">Inputs!$B$14+Inputs!$B$13*D13^2</f>
        <v>0.0510515163674725</v>
      </c>
      <c r="F13" s="7" t="n">
        <f aca="false">C13*Inputs!$B$9*E13/Inputs!$B$6*1000</f>
        <v>67.1051106336329</v>
      </c>
      <c r="G13" s="12" t="n">
        <f aca="false">Inputs!$B$15+Inputs!$B$13*D13^2</f>
        <v>0.0405515163674725</v>
      </c>
      <c r="H13" s="7" t="n">
        <f aca="false">C13*Inputs!$B$9*G13/Inputs!$B$6*1000</f>
        <v>53.3032941198714</v>
      </c>
      <c r="I13" s="10" t="n">
        <f aca="false">MAX(0,Inputs!$B$17*(1-A13/Inputs!$B$18))</f>
        <v>472.319587628866</v>
      </c>
      <c r="J13" s="7" t="n">
        <f aca="false">D13/E13</f>
        <v>7.12315344519271</v>
      </c>
      <c r="K13" s="2" t="n">
        <f aca="false">IF(I13&gt;=F13,A13,0)</f>
        <v>24</v>
      </c>
      <c r="L13" s="2" t="n">
        <f aca="false">IF(I13&gt;=H13,A13,0)</f>
        <v>24</v>
      </c>
      <c r="M13" s="2" t="str">
        <f aca="false">IF(F13&gt;=Inputs!$B$5*1000,A13,"")</f>
        <v/>
      </c>
      <c r="N13" s="2" t="str">
        <f aca="false">IF(D13&lt;=Inputs!$B$16,"yes","STALL")</f>
        <v>yes</v>
      </c>
    </row>
    <row r="14" customFormat="false" ht="15" hidden="false" customHeight="false" outlineLevel="0" collapsed="false">
      <c r="A14" s="6" t="n">
        <v>25</v>
      </c>
      <c r="B14" s="7" t="n">
        <f aca="false">A14*Inputs!$B$19</f>
        <v>55.9235</v>
      </c>
      <c r="C14" s="10" t="n">
        <f aca="false">0.5*Inputs!$B$8*A14^2</f>
        <v>382.8125</v>
      </c>
      <c r="D14" s="11" t="n">
        <f aca="false">Inputs!$B$7/(C14*Inputs!$B$9)</f>
        <v>0.335137798375164</v>
      </c>
      <c r="E14" s="12" t="n">
        <f aca="false">Inputs!$B$14+Inputs!$B$13*D14^2</f>
        <v>0.0477293795694965</v>
      </c>
      <c r="F14" s="7" t="n">
        <f aca="false">C14*Inputs!$B$9*E14/Inputs!$B$6*1000</f>
        <v>68.0754112034831</v>
      </c>
      <c r="G14" s="12" t="n">
        <f aca="false">Inputs!$B$15+Inputs!$B$13*D14^2</f>
        <v>0.0372293795694965</v>
      </c>
      <c r="H14" s="7" t="n">
        <f aca="false">C14*Inputs!$B$9*G14/Inputs!$B$6*1000</f>
        <v>53.0994818265718</v>
      </c>
      <c r="I14" s="10" t="n">
        <f aca="false">MAX(0,Inputs!$B$17*(1-A14/Inputs!$B$18))</f>
        <v>459.916237113402</v>
      </c>
      <c r="J14" s="7" t="n">
        <f aca="false">D14/E14</f>
        <v>7.02162486497831</v>
      </c>
      <c r="K14" s="2" t="n">
        <f aca="false">IF(I14&gt;=F14,A14,0)</f>
        <v>25</v>
      </c>
      <c r="L14" s="2" t="n">
        <f aca="false">IF(I14&gt;=H14,A14,0)</f>
        <v>25</v>
      </c>
      <c r="M14" s="2" t="str">
        <f aca="false">IF(F14&gt;=Inputs!$B$5*1000,A14,"")</f>
        <v/>
      </c>
      <c r="N14" s="2" t="str">
        <f aca="false">IF(D14&lt;=Inputs!$B$16,"yes","STALL")</f>
        <v>yes</v>
      </c>
    </row>
    <row r="15" customFormat="false" ht="15" hidden="false" customHeight="false" outlineLevel="0" collapsed="false">
      <c r="A15" s="6" t="n">
        <v>26</v>
      </c>
      <c r="B15" s="7" t="n">
        <f aca="false">A15*Inputs!$B$19</f>
        <v>58.16044</v>
      </c>
      <c r="C15" s="10" t="n">
        <f aca="false">0.5*Inputs!$B$8*A15^2</f>
        <v>414.05</v>
      </c>
      <c r="D15" s="11" t="n">
        <f aca="false">Inputs!$B$7/(C15*Inputs!$B$9)</f>
        <v>0.309853733704848</v>
      </c>
      <c r="E15" s="12" t="n">
        <f aca="false">Inputs!$B$14+Inputs!$B$13*D15^2</f>
        <v>0.0450099521513921</v>
      </c>
      <c r="F15" s="7" t="n">
        <f aca="false">C15*Inputs!$B$9*E15/Inputs!$B$6*1000</f>
        <v>69.4352037366745</v>
      </c>
      <c r="G15" s="12" t="n">
        <f aca="false">Inputs!$B$15+Inputs!$B$13*D15^2</f>
        <v>0.0345099521513921</v>
      </c>
      <c r="H15" s="7" t="n">
        <f aca="false">C15*Inputs!$B$9*G15/Inputs!$B$6*1000</f>
        <v>53.2372385226072</v>
      </c>
      <c r="I15" s="10" t="n">
        <f aca="false">MAX(0,Inputs!$B$17*(1-A15/Inputs!$B$18))</f>
        <v>447.512886597938</v>
      </c>
      <c r="J15" s="7" t="n">
        <f aca="false">D15/E15</f>
        <v>6.88411604310637</v>
      </c>
      <c r="K15" s="2" t="n">
        <f aca="false">IF(I15&gt;=F15,A15,0)</f>
        <v>26</v>
      </c>
      <c r="L15" s="2" t="n">
        <f aca="false">IF(I15&gt;=H15,A15,0)</f>
        <v>26</v>
      </c>
      <c r="M15" s="2" t="str">
        <f aca="false">IF(F15&gt;=Inputs!$B$5*1000,A15,"")</f>
        <v/>
      </c>
      <c r="N15" s="2" t="str">
        <f aca="false">IF(D15&lt;=Inputs!$B$16,"yes","STALL")</f>
        <v>yes</v>
      </c>
    </row>
    <row r="16" customFormat="false" ht="15" hidden="false" customHeight="false" outlineLevel="0" collapsed="false">
      <c r="A16" s="6" t="n">
        <v>27</v>
      </c>
      <c r="B16" s="7" t="n">
        <f aca="false">A16*Inputs!$B$19</f>
        <v>60.39738</v>
      </c>
      <c r="C16" s="10" t="n">
        <f aca="false">0.5*Inputs!$B$8*A16^2</f>
        <v>446.5125</v>
      </c>
      <c r="D16" s="11" t="n">
        <f aca="false">Inputs!$B$7/(C16*Inputs!$B$9)</f>
        <v>0.2873266446975</v>
      </c>
      <c r="E16" s="12" t="n">
        <f aca="false">Inputs!$B$14+Inputs!$B$13*D16^2</f>
        <v>0.0427666531079359</v>
      </c>
      <c r="F16" s="7" t="n">
        <f aca="false">C16*Inputs!$B$9*E16/Inputs!$B$6*1000</f>
        <v>71.1471092669298</v>
      </c>
      <c r="G16" s="12" t="n">
        <f aca="false">Inputs!$B$15+Inputs!$B$13*D16^2</f>
        <v>0.0322666531079359</v>
      </c>
      <c r="H16" s="7" t="n">
        <f aca="false">C16*Inputs!$B$9*G16/Inputs!$B$6*1000</f>
        <v>53.6791852417004</v>
      </c>
      <c r="I16" s="10" t="n">
        <f aca="false">MAX(0,Inputs!$B$17*(1-A16/Inputs!$B$18))</f>
        <v>435.109536082474</v>
      </c>
      <c r="J16" s="7" t="n">
        <f aca="false">D16/E16</f>
        <v>6.71847394679999</v>
      </c>
      <c r="K16" s="2" t="n">
        <f aca="false">IF(I16&gt;=F16,A16,0)</f>
        <v>27</v>
      </c>
      <c r="L16" s="2" t="n">
        <f aca="false">IF(I16&gt;=H16,A16,0)</f>
        <v>27</v>
      </c>
      <c r="M16" s="2" t="str">
        <f aca="false">IF(F16&gt;=Inputs!$B$5*1000,A16,"")</f>
        <v/>
      </c>
      <c r="N16" s="2" t="str">
        <f aca="false">IF(D16&lt;=Inputs!$B$16,"yes","STALL")</f>
        <v>yes</v>
      </c>
    </row>
    <row r="17" customFormat="false" ht="15" hidden="false" customHeight="false" outlineLevel="0" collapsed="false">
      <c r="A17" s="6" t="n">
        <v>28</v>
      </c>
      <c r="B17" s="7" t="n">
        <f aca="false">A17*Inputs!$B$19</f>
        <v>62.63432</v>
      </c>
      <c r="C17" s="10" t="n">
        <f aca="false">0.5*Inputs!$B$8*A17^2</f>
        <v>480.2</v>
      </c>
      <c r="D17" s="11" t="n">
        <f aca="false">Inputs!$B$7/(C17*Inputs!$B$9)</f>
        <v>0.267169801000609</v>
      </c>
      <c r="E17" s="12" t="n">
        <f aca="false">Inputs!$B$14+Inputs!$B$13*D17^2</f>
        <v>0.0409028593137211</v>
      </c>
      <c r="F17" s="7" t="n">
        <f aca="false">C17*Inputs!$B$9*E17/Inputs!$B$6*1000</f>
        <v>73.1803021102453</v>
      </c>
      <c r="G17" s="12" t="n">
        <f aca="false">Inputs!$B$15+Inputs!$B$13*D17^2</f>
        <v>0.0304028593137211</v>
      </c>
      <c r="H17" s="7" t="n">
        <f aca="false">C17*Inputs!$B$9*G17/Inputs!$B$6*1000</f>
        <v>54.3944962998477</v>
      </c>
      <c r="I17" s="10" t="n">
        <f aca="false">MAX(0,Inputs!$B$17*(1-A17/Inputs!$B$18))</f>
        <v>422.70618556701</v>
      </c>
      <c r="J17" s="7" t="n">
        <f aca="false">D17/E17</f>
        <v>6.53181233496274</v>
      </c>
      <c r="K17" s="2" t="n">
        <f aca="false">IF(I17&gt;=F17,A17,0)</f>
        <v>28</v>
      </c>
      <c r="L17" s="2" t="n">
        <f aca="false">IF(I17&gt;=H17,A17,0)</f>
        <v>28</v>
      </c>
      <c r="M17" s="2" t="str">
        <f aca="false">IF(F17&gt;=Inputs!$B$5*1000,A17,"")</f>
        <v/>
      </c>
      <c r="N17" s="2" t="str">
        <f aca="false">IF(D17&lt;=Inputs!$B$16,"yes","STALL")</f>
        <v>yes</v>
      </c>
    </row>
    <row r="18" customFormat="false" ht="15" hidden="false" customHeight="false" outlineLevel="0" collapsed="false">
      <c r="A18" s="6" t="n">
        <v>29</v>
      </c>
      <c r="B18" s="7" t="n">
        <f aca="false">A18*Inputs!$B$19</f>
        <v>64.87126</v>
      </c>
      <c r="C18" s="10" t="n">
        <f aca="false">0.5*Inputs!$B$8*A18^2</f>
        <v>515.1125</v>
      </c>
      <c r="D18" s="11" t="n">
        <f aca="false">Inputs!$B$7/(C18*Inputs!$B$9)</f>
        <v>0.249061978578451</v>
      </c>
      <c r="E18" s="12" t="n">
        <f aca="false">Inputs!$B$14+Inputs!$B$13*D18^2</f>
        <v>0.0393440696050573</v>
      </c>
      <c r="F18" s="7" t="n">
        <f aca="false">C18*Inputs!$B$9*E18/Inputs!$B$6*1000</f>
        <v>75.5091779907852</v>
      </c>
      <c r="G18" s="12" t="n">
        <f aca="false">Inputs!$B$15+Inputs!$B$13*D18^2</f>
        <v>0.0288440696050573</v>
      </c>
      <c r="H18" s="7" t="n">
        <f aca="false">C18*Inputs!$B$9*G18/Inputs!$B$6*1000</f>
        <v>55.3575674212133</v>
      </c>
      <c r="I18" s="10" t="n">
        <f aca="false">MAX(0,Inputs!$B$17*(1-A18/Inputs!$B$18))</f>
        <v>410.302835051546</v>
      </c>
      <c r="J18" s="7" t="n">
        <f aca="false">D18/E18</f>
        <v>6.33035629203026</v>
      </c>
      <c r="K18" s="2" t="n">
        <f aca="false">IF(I18&gt;=F18,A18,0)</f>
        <v>29</v>
      </c>
      <c r="L18" s="2" t="n">
        <f aca="false">IF(I18&gt;=H18,A18,0)</f>
        <v>29</v>
      </c>
      <c r="M18" s="2" t="str">
        <f aca="false">IF(F18&gt;=Inputs!$B$5*1000,A18,"")</f>
        <v/>
      </c>
      <c r="N18" s="2" t="str">
        <f aca="false">IF(D18&lt;=Inputs!$B$16,"yes","STALL")</f>
        <v>yes</v>
      </c>
    </row>
    <row r="19" customFormat="false" ht="15" hidden="false" customHeight="false" outlineLevel="0" collapsed="false">
      <c r="A19" s="6" t="n">
        <v>30</v>
      </c>
      <c r="B19" s="7" t="n">
        <f aca="false">A19*Inputs!$B$19</f>
        <v>67.1082</v>
      </c>
      <c r="C19" s="10" t="n">
        <f aca="false">0.5*Inputs!$B$8*A19^2</f>
        <v>551.25</v>
      </c>
      <c r="D19" s="11" t="n">
        <f aca="false">Inputs!$B$7/(C19*Inputs!$B$9)</f>
        <v>0.232734582204975</v>
      </c>
      <c r="E19" s="12" t="n">
        <f aca="false">Inputs!$B$14+Inputs!$B$13*D19^2</f>
        <v>0.0380323011041167</v>
      </c>
      <c r="F19" s="7" t="n">
        <f aca="false">C19*Inputs!$B$9*E19/Inputs!$B$6*1000</f>
        <v>78.1123275945159</v>
      </c>
      <c r="G19" s="12" t="n">
        <f aca="false">Inputs!$B$15+Inputs!$B$13*D19^2</f>
        <v>0.0275323011041167</v>
      </c>
      <c r="H19" s="7" t="n">
        <f aca="false">C19*Inputs!$B$9*G19/Inputs!$B$6*1000</f>
        <v>56.5469892917636</v>
      </c>
      <c r="I19" s="10" t="n">
        <f aca="false">MAX(0,Inputs!$B$17*(1-A19/Inputs!$B$18))</f>
        <v>397.899484536082</v>
      </c>
      <c r="J19" s="7" t="n">
        <f aca="false">D19/E19</f>
        <v>6.11939260703274</v>
      </c>
      <c r="K19" s="2" t="n">
        <f aca="false">IF(I19&gt;=F19,A19,0)</f>
        <v>30</v>
      </c>
      <c r="L19" s="2" t="n">
        <f aca="false">IF(I19&gt;=H19,A19,0)</f>
        <v>30</v>
      </c>
      <c r="M19" s="2" t="str">
        <f aca="false">IF(F19&gt;=Inputs!$B$5*1000,A19,"")</f>
        <v/>
      </c>
      <c r="N19" s="2" t="str">
        <f aca="false">IF(D19&lt;=Inputs!$B$16,"yes","STALL")</f>
        <v>yes</v>
      </c>
    </row>
    <row r="20" customFormat="false" ht="15" hidden="false" customHeight="false" outlineLevel="0" collapsed="false">
      <c r="A20" s="6" t="n">
        <v>31</v>
      </c>
      <c r="B20" s="7" t="n">
        <f aca="false">A20*Inputs!$B$19</f>
        <v>69.34514</v>
      </c>
      <c r="C20" s="10" t="n">
        <f aca="false">0.5*Inputs!$B$8*A20^2</f>
        <v>588.6125</v>
      </c>
      <c r="D20" s="11" t="n">
        <f aca="false">Inputs!$B$7/(C20*Inputs!$B$9)</f>
        <v>0.217961627455232</v>
      </c>
      <c r="E20" s="12" t="n">
        <f aca="false">Inputs!$B$14+Inputs!$B$13*D20^2</f>
        <v>0.0369220330607908</v>
      </c>
      <c r="F20" s="7" t="n">
        <f aca="false">C20*Inputs!$B$9*E20/Inputs!$B$6*1000</f>
        <v>80.9717380490883</v>
      </c>
      <c r="G20" s="12" t="n">
        <f aca="false">Inputs!$B$15+Inputs!$B$13*D20^2</f>
        <v>0.0264220330607908</v>
      </c>
      <c r="H20" s="7" t="n">
        <f aca="false">C20*Inputs!$B$9*G20/Inputs!$B$6*1000</f>
        <v>57.9447490391495</v>
      </c>
      <c r="I20" s="10" t="n">
        <f aca="false">MAX(0,Inputs!$B$17*(1-A20/Inputs!$B$18))</f>
        <v>385.496134020619</v>
      </c>
      <c r="J20" s="7" t="n">
        <f aca="false">D20/E20</f>
        <v>5.90329430387448</v>
      </c>
      <c r="K20" s="2" t="n">
        <f aca="false">IF(I20&gt;=F20,A20,0)</f>
        <v>31</v>
      </c>
      <c r="L20" s="2" t="n">
        <f aca="false">IF(I20&gt;=H20,A20,0)</f>
        <v>31</v>
      </c>
      <c r="M20" s="2" t="str">
        <f aca="false">IF(F20&gt;=Inputs!$B$5*1000,A20,"")</f>
        <v/>
      </c>
      <c r="N20" s="2" t="str">
        <f aca="false">IF(D20&lt;=Inputs!$B$16,"yes","STALL")</f>
        <v>yes</v>
      </c>
    </row>
    <row r="21" customFormat="false" ht="15" hidden="false" customHeight="false" outlineLevel="0" collapsed="false">
      <c r="A21" s="6" t="n">
        <v>32</v>
      </c>
      <c r="B21" s="7" t="n">
        <f aca="false">A21*Inputs!$B$19</f>
        <v>71.58208</v>
      </c>
      <c r="C21" s="10" t="n">
        <f aca="false">0.5*Inputs!$B$8*A21^2</f>
        <v>627.2</v>
      </c>
      <c r="D21" s="11" t="n">
        <f aca="false">Inputs!$B$7/(C21*Inputs!$B$9)</f>
        <v>0.204551878891091</v>
      </c>
      <c r="E21" s="12" t="n">
        <f aca="false">Inputs!$B$14+Inputs!$B$13*D21^2</f>
        <v>0.0359772376006456</v>
      </c>
      <c r="F21" s="7" t="n">
        <f aca="false">C21*Inputs!$B$9*E21/Inputs!$B$6*1000</f>
        <v>84.0721662706642</v>
      </c>
      <c r="G21" s="12" t="n">
        <f aca="false">Inputs!$B$15+Inputs!$B$13*D21^2</f>
        <v>0.0254772376006456</v>
      </c>
      <c r="H21" s="7" t="n">
        <f aca="false">C21*Inputs!$B$9*G21/Inputs!$B$6*1000</f>
        <v>59.5356035795327</v>
      </c>
      <c r="I21" s="10" t="n">
        <f aca="false">MAX(0,Inputs!$B$17*(1-A21/Inputs!$B$18))</f>
        <v>373.092783505155</v>
      </c>
      <c r="J21" s="7" t="n">
        <f aca="false">D21/E21</f>
        <v>5.68559157213951</v>
      </c>
      <c r="K21" s="2" t="n">
        <f aca="false">IF(I21&gt;=F21,A21,0)</f>
        <v>32</v>
      </c>
      <c r="L21" s="2" t="n">
        <f aca="false">IF(I21&gt;=H21,A21,0)</f>
        <v>32</v>
      </c>
      <c r="M21" s="2" t="str">
        <f aca="false">IF(F21&gt;=Inputs!$B$5*1000,A21,"")</f>
        <v/>
      </c>
      <c r="N21" s="2" t="str">
        <f aca="false">IF(D21&lt;=Inputs!$B$16,"yes","STALL")</f>
        <v>yes</v>
      </c>
    </row>
    <row r="22" customFormat="false" ht="15" hidden="false" customHeight="false" outlineLevel="0" collapsed="false">
      <c r="A22" s="6" t="n">
        <v>33</v>
      </c>
      <c r="B22" s="7" t="n">
        <f aca="false">A22*Inputs!$B$19</f>
        <v>73.81902</v>
      </c>
      <c r="C22" s="10" t="n">
        <f aca="false">0.5*Inputs!$B$8*A22^2</f>
        <v>667.0125</v>
      </c>
      <c r="D22" s="11" t="n">
        <f aca="false">Inputs!$B$7/(C22*Inputs!$B$9)</f>
        <v>0.192342629921467</v>
      </c>
      <c r="E22" s="12" t="n">
        <f aca="false">Inputs!$B$14+Inputs!$B$13*D22^2</f>
        <v>0.0351691831870205</v>
      </c>
      <c r="F22" s="7" t="n">
        <f aca="false">C22*Inputs!$B$9*E22/Inputs!$B$6*1000</f>
        <v>87.4006431661023</v>
      </c>
      <c r="G22" s="12" t="n">
        <f aca="false">Inputs!$B$15+Inputs!$B$13*D22^2</f>
        <v>0.0246691831870205</v>
      </c>
      <c r="H22" s="7" t="n">
        <f aca="false">C22*Inputs!$B$9*G22/Inputs!$B$6*1000</f>
        <v>61.306583819772</v>
      </c>
      <c r="I22" s="10" t="n">
        <f aca="false">MAX(0,Inputs!$B$17*(1-A22/Inputs!$B$18))</f>
        <v>360.689432989691</v>
      </c>
      <c r="J22" s="7" t="n">
        <f aca="false">D22/E22</f>
        <v>5.46906730527801</v>
      </c>
      <c r="K22" s="2" t="n">
        <f aca="false">IF(I22&gt;=F22,A22,0)</f>
        <v>33</v>
      </c>
      <c r="L22" s="2" t="n">
        <f aca="false">IF(I22&gt;=H22,A22,0)</f>
        <v>33</v>
      </c>
      <c r="M22" s="2" t="str">
        <f aca="false">IF(F22&gt;=Inputs!$B$5*1000,A22,"")</f>
        <v/>
      </c>
      <c r="N22" s="2" t="str">
        <f aca="false">IF(D22&lt;=Inputs!$B$16,"yes","STALL")</f>
        <v>yes</v>
      </c>
    </row>
    <row r="23" customFormat="false" ht="15" hidden="false" customHeight="false" outlineLevel="0" collapsed="false">
      <c r="A23" s="6" t="n">
        <v>34</v>
      </c>
      <c r="B23" s="7" t="n">
        <f aca="false">A23*Inputs!$B$19</f>
        <v>76.05596</v>
      </c>
      <c r="C23" s="10" t="n">
        <f aca="false">0.5*Inputs!$B$8*A23^2</f>
        <v>708.05</v>
      </c>
      <c r="D23" s="11" t="n">
        <f aca="false">Inputs!$B$7/(C23*Inputs!$B$9)</f>
        <v>0.181194743931209</v>
      </c>
      <c r="E23" s="12" t="n">
        <f aca="false">Inputs!$B$14+Inputs!$B$13*D23^2</f>
        <v>0.0344747936853715</v>
      </c>
      <c r="F23" s="7" t="n">
        <f aca="false">C23*Inputs!$B$9*E23/Inputs!$B$6*1000</f>
        <v>90.946078368939</v>
      </c>
      <c r="G23" s="12" t="n">
        <f aca="false">Inputs!$B$15+Inputs!$B$13*D23^2</f>
        <v>0.0239747936853715</v>
      </c>
      <c r="H23" s="7" t="n">
        <f aca="false">C23*Inputs!$B$9*G23/Inputs!$B$6*1000</f>
        <v>63.2465993934038</v>
      </c>
      <c r="I23" s="10" t="n">
        <f aca="false">MAX(0,Inputs!$B$17*(1-A23/Inputs!$B$18))</f>
        <v>348.286082474227</v>
      </c>
      <c r="J23" s="7" t="n">
        <f aca="false">D23/E23</f>
        <v>5.25586158933547</v>
      </c>
      <c r="K23" s="2" t="n">
        <f aca="false">IF(I23&gt;=F23,A23,0)</f>
        <v>34</v>
      </c>
      <c r="L23" s="2" t="n">
        <f aca="false">IF(I23&gt;=H23,A23,0)</f>
        <v>34</v>
      </c>
      <c r="M23" s="2" t="str">
        <f aca="false">IF(F23&gt;=Inputs!$B$5*1000,A23,"")</f>
        <v/>
      </c>
      <c r="N23" s="2" t="str">
        <f aca="false">IF(D23&lt;=Inputs!$B$16,"yes","STALL")</f>
        <v>yes</v>
      </c>
    </row>
    <row r="24" customFormat="false" ht="15" hidden="false" customHeight="false" outlineLevel="0" collapsed="false">
      <c r="A24" s="6" t="n">
        <v>35</v>
      </c>
      <c r="B24" s="7" t="n">
        <f aca="false">A24*Inputs!$B$19</f>
        <v>78.2929</v>
      </c>
      <c r="C24" s="10" t="n">
        <f aca="false">0.5*Inputs!$B$8*A24^2</f>
        <v>750.3125</v>
      </c>
      <c r="D24" s="11" t="n">
        <f aca="false">Inputs!$B$7/(C24*Inputs!$B$9)</f>
        <v>0.17098867264039</v>
      </c>
      <c r="E24" s="12" t="n">
        <f aca="false">Inputs!$B$14+Inputs!$B$13*D24^2</f>
        <v>0.0338754111749002</v>
      </c>
      <c r="F24" s="7" t="n">
        <f aca="false">C24*Inputs!$B$9*E24/Inputs!$B$6*1000</f>
        <v>94.6989428689056</v>
      </c>
      <c r="G24" s="12" t="n">
        <f aca="false">Inputs!$B$15+Inputs!$B$13*D24^2</f>
        <v>0.0233754111749002</v>
      </c>
      <c r="H24" s="7" t="n">
        <f aca="false">C24*Inputs!$B$9*G24/Inputs!$B$6*1000</f>
        <v>65.3461212901594</v>
      </c>
      <c r="I24" s="10" t="n">
        <f aca="false">MAX(0,Inputs!$B$17*(1-A24/Inputs!$B$18))</f>
        <v>335.882731958763</v>
      </c>
      <c r="J24" s="7" t="n">
        <f aca="false">D24/E24</f>
        <v>5.04757482521963</v>
      </c>
      <c r="K24" s="2" t="n">
        <f aca="false">IF(I24&gt;=F24,A24,0)</f>
        <v>35</v>
      </c>
      <c r="L24" s="2" t="n">
        <f aca="false">IF(I24&gt;=H24,A24,0)</f>
        <v>35</v>
      </c>
      <c r="M24" s="2" t="str">
        <f aca="false">IF(F24&gt;=Inputs!$B$5*1000,A24,"")</f>
        <v/>
      </c>
      <c r="N24" s="2" t="str">
        <f aca="false">IF(D24&lt;=Inputs!$B$16,"yes","STALL")</f>
        <v>yes</v>
      </c>
    </row>
    <row r="25" customFormat="false" ht="15" hidden="false" customHeight="false" outlineLevel="0" collapsed="false">
      <c r="A25" s="6" t="n">
        <v>36</v>
      </c>
      <c r="B25" s="7" t="n">
        <f aca="false">A25*Inputs!$B$19</f>
        <v>80.52984</v>
      </c>
      <c r="C25" s="10" t="n">
        <f aca="false">0.5*Inputs!$B$8*A25^2</f>
        <v>793.8</v>
      </c>
      <c r="D25" s="11" t="n">
        <f aca="false">Inputs!$B$7/(C25*Inputs!$B$9)</f>
        <v>0.161621237642344</v>
      </c>
      <c r="E25" s="12" t="n">
        <f aca="false">Inputs!$B$14+Inputs!$B$13*D25^2</f>
        <v>0.0333558550849328</v>
      </c>
      <c r="F25" s="7" t="n">
        <f aca="false">C25*Inputs!$B$9*E25/Inputs!$B$6*1000</f>
        <v>98.6510124732558</v>
      </c>
      <c r="G25" s="12" t="n">
        <f aca="false">Inputs!$B$15+Inputs!$B$13*D25^2</f>
        <v>0.0228558550849328</v>
      </c>
      <c r="H25" s="7" t="n">
        <f aca="false">C25*Inputs!$B$9*G25/Inputs!$B$6*1000</f>
        <v>67.5969253172925</v>
      </c>
      <c r="I25" s="10" t="n">
        <f aca="false">MAX(0,Inputs!$B$17*(1-A25/Inputs!$B$18))</f>
        <v>323.479381443299</v>
      </c>
      <c r="J25" s="7" t="n">
        <f aca="false">D25/E25</f>
        <v>4.84536334717888</v>
      </c>
      <c r="K25" s="2" t="n">
        <f aca="false">IF(I25&gt;=F25,A25,0)</f>
        <v>36</v>
      </c>
      <c r="L25" s="2" t="n">
        <f aca="false">IF(I25&gt;=H25,A25,0)</f>
        <v>36</v>
      </c>
      <c r="M25" s="2" t="str">
        <f aca="false">IF(F25&gt;=Inputs!$B$5*1000,A25,"")</f>
        <v/>
      </c>
      <c r="N25" s="2" t="str">
        <f aca="false">IF(D25&lt;=Inputs!$B$16,"yes","STALL")</f>
        <v>yes</v>
      </c>
    </row>
    <row r="26" customFormat="false" ht="15" hidden="false" customHeight="false" outlineLevel="0" collapsed="false">
      <c r="A26" s="6" t="n">
        <v>37</v>
      </c>
      <c r="B26" s="7" t="n">
        <f aca="false">A26*Inputs!$B$19</f>
        <v>82.76678</v>
      </c>
      <c r="C26" s="10" t="n">
        <f aca="false">0.5*Inputs!$B$8*A26^2</f>
        <v>838.5125</v>
      </c>
      <c r="D26" s="11" t="n">
        <f aca="false">Inputs!$B$7/(C26*Inputs!$B$9)</f>
        <v>0.153003012406485</v>
      </c>
      <c r="E26" s="12" t="n">
        <f aca="false">Inputs!$B$14+Inputs!$B$13*D26^2</f>
        <v>0.0329037008529868</v>
      </c>
      <c r="F26" s="7" t="n">
        <f aca="false">C26*Inputs!$B$9*E26/Inputs!$B$6*1000</f>
        <v>102.79515913022</v>
      </c>
      <c r="G26" s="12" t="n">
        <f aca="false">Inputs!$B$15+Inputs!$B$13*D26^2</f>
        <v>0.0224037008529868</v>
      </c>
      <c r="H26" s="7" t="n">
        <f aca="false">C26*Inputs!$B$9*G26/Inputs!$B$6*1000</f>
        <v>69.9918834230339</v>
      </c>
      <c r="I26" s="10" t="n">
        <f aca="false">MAX(0,Inputs!$B$17*(1-A26/Inputs!$B$18))</f>
        <v>311.076030927835</v>
      </c>
      <c r="J26" s="7" t="n">
        <f aca="false">D26/E26</f>
        <v>4.65002441792489</v>
      </c>
      <c r="K26" s="2" t="n">
        <f aca="false">IF(I26&gt;=F26,A26,0)</f>
        <v>37</v>
      </c>
      <c r="L26" s="2" t="n">
        <f aca="false">IF(I26&gt;=H26,A26,0)</f>
        <v>37</v>
      </c>
      <c r="M26" s="2" t="str">
        <f aca="false">IF(F26&gt;=Inputs!$B$5*1000,A26,"")</f>
        <v/>
      </c>
      <c r="N26" s="2" t="str">
        <f aca="false">IF(D26&lt;=Inputs!$B$16,"yes","STALL")</f>
        <v>yes</v>
      </c>
    </row>
    <row r="27" customFormat="false" ht="15" hidden="false" customHeight="false" outlineLevel="0" collapsed="false">
      <c r="A27" s="6" t="n">
        <v>38</v>
      </c>
      <c r="B27" s="7" t="n">
        <f aca="false">A27*Inputs!$B$19</f>
        <v>85.00372</v>
      </c>
      <c r="C27" s="10" t="n">
        <f aca="false">0.5*Inputs!$B$8*A27^2</f>
        <v>884.45</v>
      </c>
      <c r="D27" s="11" t="n">
        <f aca="false">Inputs!$B$7/(C27*Inputs!$B$9)</f>
        <v>0.145056180044652</v>
      </c>
      <c r="E27" s="12" t="n">
        <f aca="false">Inputs!$B$14+Inputs!$B$13*D27^2</f>
        <v>0.0325087226417531</v>
      </c>
      <c r="F27" s="7" t="n">
        <f aca="false">C27*Inputs!$B$9*E27/Inputs!$B$6*1000</f>
        <v>107.125180174844</v>
      </c>
      <c r="G27" s="12" t="n">
        <f aca="false">Inputs!$B$15+Inputs!$B$13*D27^2</f>
        <v>0.0220087226417531</v>
      </c>
      <c r="H27" s="7" t="n">
        <f aca="false">C27*Inputs!$B$9*G27/Inputs!$B$6*1000</f>
        <v>72.5247929424284</v>
      </c>
      <c r="I27" s="10" t="n">
        <f aca="false">MAX(0,Inputs!$B$17*(1-A27/Inputs!$B$18))</f>
        <v>298.672680412371</v>
      </c>
      <c r="J27" s="7" t="n">
        <f aca="false">D27/E27</f>
        <v>4.46206950802634</v>
      </c>
      <c r="K27" s="2" t="n">
        <f aca="false">IF(I27&gt;=F27,A27,0)</f>
        <v>38</v>
      </c>
      <c r="L27" s="2" t="n">
        <f aca="false">IF(I27&gt;=H27,A27,0)</f>
        <v>38</v>
      </c>
      <c r="M27" s="2" t="str">
        <f aca="false">IF(F27&gt;=Inputs!$B$5*1000,A27,"")</f>
        <v/>
      </c>
      <c r="N27" s="2" t="str">
        <f aca="false">IF(D27&lt;=Inputs!$B$16,"yes","STALL")</f>
        <v>yes</v>
      </c>
    </row>
    <row r="28" customFormat="false" ht="15" hidden="false" customHeight="false" outlineLevel="0" collapsed="false">
      <c r="A28" s="6" t="n">
        <v>39</v>
      </c>
      <c r="B28" s="7" t="n">
        <f aca="false">A28*Inputs!$B$19</f>
        <v>87.24066</v>
      </c>
      <c r="C28" s="10" t="n">
        <f aca="false">0.5*Inputs!$B$8*A28^2</f>
        <v>931.6125</v>
      </c>
      <c r="D28" s="11" t="n">
        <f aca="false">Inputs!$B$7/(C28*Inputs!$B$9)</f>
        <v>0.137712770535488</v>
      </c>
      <c r="E28" s="12" t="n">
        <f aca="false">Inputs!$B$14+Inputs!$B$13*D28^2</f>
        <v>0.0321624596842256</v>
      </c>
      <c r="F28" s="7" t="n">
        <f aca="false">C28*Inputs!$B$9*E28/Inputs!$B$6*1000</f>
        <v>111.635657820842</v>
      </c>
      <c r="G28" s="12" t="n">
        <f aca="false">Inputs!$B$15+Inputs!$B$13*D28^2</f>
        <v>0.0216624596842256</v>
      </c>
      <c r="H28" s="7" t="n">
        <f aca="false">C28*Inputs!$B$9*G28/Inputs!$B$6*1000</f>
        <v>75.1902360891902</v>
      </c>
      <c r="I28" s="10" t="n">
        <f aca="false">MAX(0,Inputs!$B$17*(1-A28/Inputs!$B$18))</f>
        <v>286.269329896907</v>
      </c>
      <c r="J28" s="7" t="n">
        <f aca="false">D28/E28</f>
        <v>4.28178602904027</v>
      </c>
      <c r="K28" s="2" t="n">
        <f aca="false">IF(I28&gt;=F28,A28,0)</f>
        <v>39</v>
      </c>
      <c r="L28" s="2" t="n">
        <f aca="false">IF(I28&gt;=H28,A28,0)</f>
        <v>39</v>
      </c>
      <c r="M28" s="2" t="str">
        <f aca="false">IF(F28&gt;=Inputs!$B$5*1000,A28,"")</f>
        <v/>
      </c>
      <c r="N28" s="2" t="str">
        <f aca="false">IF(D28&lt;=Inputs!$B$16,"yes","STALL")</f>
        <v>yes</v>
      </c>
    </row>
    <row r="29" customFormat="false" ht="15" hidden="false" customHeight="false" outlineLevel="0" collapsed="false">
      <c r="A29" s="6" t="n">
        <v>40</v>
      </c>
      <c r="B29" s="7" t="n">
        <f aca="false">A29*Inputs!$B$19</f>
        <v>89.4776</v>
      </c>
      <c r="C29" s="10" t="n">
        <f aca="false">0.5*Inputs!$B$8*A29^2</f>
        <v>980</v>
      </c>
      <c r="D29" s="11" t="n">
        <f aca="false">Inputs!$B$7/(C29*Inputs!$B$9)</f>
        <v>0.130913202490298</v>
      </c>
      <c r="E29" s="12" t="n">
        <f aca="false">Inputs!$B$14+Inputs!$B$13*D29^2</f>
        <v>0.0318578765212244</v>
      </c>
      <c r="F29" s="7" t="n">
        <f aca="false">C29*Inputs!$B$9*E29/Inputs!$B$6*1000</f>
        <v>116.321842926987</v>
      </c>
      <c r="G29" s="12" t="n">
        <f aca="false">Inputs!$B$15+Inputs!$B$13*D29^2</f>
        <v>0.0213578765212244</v>
      </c>
      <c r="H29" s="7" t="n">
        <f aca="false">C29*Inputs!$B$9*G29/Inputs!$B$6*1000</f>
        <v>77.9834637220936</v>
      </c>
      <c r="I29" s="10" t="n">
        <f aca="false">MAX(0,Inputs!$B$17*(1-A29/Inputs!$B$18))</f>
        <v>273.865979381443</v>
      </c>
      <c r="J29" s="7" t="n">
        <f aca="false">D29/E29</f>
        <v>4.10928840166359</v>
      </c>
      <c r="K29" s="2" t="n">
        <f aca="false">IF(I29&gt;=F29,A29,0)</f>
        <v>40</v>
      </c>
      <c r="L29" s="2" t="n">
        <f aca="false">IF(I29&gt;=H29,A29,0)</f>
        <v>40</v>
      </c>
      <c r="M29" s="2" t="str">
        <f aca="false">IF(F29&gt;=Inputs!$B$5*1000,A29,"")</f>
        <v/>
      </c>
      <c r="N29" s="2" t="str">
        <f aca="false">IF(D29&lt;=Inputs!$B$16,"yes","STALL")</f>
        <v>yes</v>
      </c>
    </row>
    <row r="30" customFormat="false" ht="15" hidden="false" customHeight="false" outlineLevel="0" collapsed="false">
      <c r="A30" s="6" t="n">
        <v>41</v>
      </c>
      <c r="B30" s="7" t="n">
        <f aca="false">A30*Inputs!$B$19</f>
        <v>91.71454</v>
      </c>
      <c r="C30" s="10" t="n">
        <f aca="false">0.5*Inputs!$B$8*A30^2</f>
        <v>1029.6125</v>
      </c>
      <c r="D30" s="11" t="n">
        <f aca="false">Inputs!$B$7/(C30*Inputs!$B$9)</f>
        <v>0.124605070781962</v>
      </c>
      <c r="E30" s="12" t="n">
        <f aca="false">Inputs!$B$14+Inputs!$B$13*D30^2</f>
        <v>0.0315890950771614</v>
      </c>
      <c r="F30" s="7" t="n">
        <f aca="false">C30*Inputs!$B$9*E30/Inputs!$B$6*1000</f>
        <v>121.179558360871</v>
      </c>
      <c r="G30" s="12" t="n">
        <f aca="false">Inputs!$B$15+Inputs!$B$13*D30^2</f>
        <v>0.0210890950771614</v>
      </c>
      <c r="H30" s="7" t="n">
        <f aca="false">C30*Inputs!$B$9*G30/Inputs!$B$6*1000</f>
        <v>80.9002987087299</v>
      </c>
      <c r="I30" s="10" t="n">
        <f aca="false">MAX(0,Inputs!$B$17*(1-A30/Inputs!$B$18))</f>
        <v>261.462628865979</v>
      </c>
      <c r="J30" s="7" t="n">
        <f aca="false">D30/E30</f>
        <v>3.94455968040851</v>
      </c>
      <c r="K30" s="2" t="n">
        <f aca="false">IF(I30&gt;=F30,A30,0)</f>
        <v>41</v>
      </c>
      <c r="L30" s="2" t="n">
        <f aca="false">IF(I30&gt;=H30,A30,0)</f>
        <v>41</v>
      </c>
      <c r="M30" s="2" t="str">
        <f aca="false">IF(F30&gt;=Inputs!$B$5*1000,A30,"")</f>
        <v/>
      </c>
      <c r="N30" s="2" t="str">
        <f aca="false">IF(D30&lt;=Inputs!$B$16,"yes","STALL")</f>
        <v>yes</v>
      </c>
    </row>
    <row r="31" customFormat="false" ht="15" hidden="false" customHeight="false" outlineLevel="0" collapsed="false">
      <c r="A31" s="6" t="n">
        <v>42</v>
      </c>
      <c r="B31" s="7" t="n">
        <f aca="false">A31*Inputs!$B$19</f>
        <v>93.95148</v>
      </c>
      <c r="C31" s="10" t="n">
        <f aca="false">0.5*Inputs!$B$8*A31^2</f>
        <v>1080.45</v>
      </c>
      <c r="D31" s="11" t="n">
        <f aca="false">Inputs!$B$7/(C31*Inputs!$B$9)</f>
        <v>0.118742133778048</v>
      </c>
      <c r="E31" s="12" t="n">
        <f aca="false">Inputs!$B$14+Inputs!$B$13*D31^2</f>
        <v>0.031351182086661</v>
      </c>
      <c r="F31" s="7" t="n">
        <f aca="false">C31*Inputs!$B$9*E31/Inputs!$B$6*1000</f>
        <v>126.205118272806</v>
      </c>
      <c r="G31" s="12" t="n">
        <f aca="false">Inputs!$B$15+Inputs!$B$13*D31^2</f>
        <v>0.020851182086661</v>
      </c>
      <c r="H31" s="7" t="n">
        <f aca="false">C31*Inputs!$B$9*G31/Inputs!$B$6*1000</f>
        <v>83.9370551994113</v>
      </c>
      <c r="I31" s="10" t="n">
        <f aca="false">MAX(0,Inputs!$B$17*(1-A31/Inputs!$B$18))</f>
        <v>249.059278350515</v>
      </c>
      <c r="J31" s="7" t="n">
        <f aca="false">D31/E31</f>
        <v>3.78748506036619</v>
      </c>
      <c r="K31" s="2" t="n">
        <f aca="false">IF(I31&gt;=F31,A31,0)</f>
        <v>42</v>
      </c>
      <c r="L31" s="2" t="n">
        <f aca="false">IF(I31&gt;=H31,A31,0)</f>
        <v>42</v>
      </c>
      <c r="M31" s="2" t="str">
        <f aca="false">IF(F31&gt;=Inputs!$B$5*1000,A31,"")</f>
        <v/>
      </c>
      <c r="N31" s="2" t="str">
        <f aca="false">IF(D31&lt;=Inputs!$B$16,"yes","STALL")</f>
        <v>yes</v>
      </c>
    </row>
    <row r="32" customFormat="false" ht="15" hidden="false" customHeight="false" outlineLevel="0" collapsed="false">
      <c r="A32" s="6" t="n">
        <v>43</v>
      </c>
      <c r="B32" s="7" t="n">
        <f aca="false">A32*Inputs!$B$19</f>
        <v>96.18842</v>
      </c>
      <c r="C32" s="10" t="n">
        <f aca="false">0.5*Inputs!$B$8*A32^2</f>
        <v>1132.5125</v>
      </c>
      <c r="D32" s="11" t="n">
        <f aca="false">Inputs!$B$7/(C32*Inputs!$B$9)</f>
        <v>0.113283463485385</v>
      </c>
      <c r="E32" s="12" t="n">
        <f aca="false">Inputs!$B$14+Inputs!$B$13*D32^2</f>
        <v>0.0311399794531283</v>
      </c>
      <c r="F32" s="7" t="n">
        <f aca="false">C32*Inputs!$B$9*E32/Inputs!$B$6*1000</f>
        <v>131.39526035515</v>
      </c>
      <c r="G32" s="12" t="n">
        <f aca="false">Inputs!$B$15+Inputs!$B$13*D32^2</f>
        <v>0.0206399794531283</v>
      </c>
      <c r="H32" s="7" t="n">
        <f aca="false">C32*Inputs!$B$9*G32/Inputs!$B$6*1000</f>
        <v>87.0904708864956</v>
      </c>
      <c r="I32" s="10" t="n">
        <f aca="false">MAX(0,Inputs!$B$17*(1-A32/Inputs!$B$18))</f>
        <v>236.655927835052</v>
      </c>
      <c r="J32" s="7" t="n">
        <f aca="false">D32/E32</f>
        <v>3.63787855595405</v>
      </c>
      <c r="K32" s="2" t="n">
        <f aca="false">IF(I32&gt;=F32,A32,0)</f>
        <v>43</v>
      </c>
      <c r="L32" s="2" t="n">
        <f aca="false">IF(I32&gt;=H32,A32,0)</f>
        <v>43</v>
      </c>
      <c r="M32" s="2" t="str">
        <f aca="false">IF(F32&gt;=Inputs!$B$5*1000,A32,"")</f>
        <v/>
      </c>
      <c r="N32" s="2" t="str">
        <f aca="false">IF(D32&lt;=Inputs!$B$16,"yes","STALL")</f>
        <v>yes</v>
      </c>
    </row>
    <row r="33" customFormat="false" ht="15" hidden="false" customHeight="false" outlineLevel="0" collapsed="false">
      <c r="A33" s="6" t="n">
        <v>44</v>
      </c>
      <c r="B33" s="7" t="n">
        <f aca="false">A33*Inputs!$B$19</f>
        <v>98.42536</v>
      </c>
      <c r="C33" s="10" t="n">
        <f aca="false">0.5*Inputs!$B$8*A33^2</f>
        <v>1185.8</v>
      </c>
      <c r="D33" s="11" t="n">
        <f aca="false">Inputs!$B$7/(C33*Inputs!$B$9)</f>
        <v>0.108192729330825</v>
      </c>
      <c r="E33" s="12" t="n">
        <f aca="false">Inputs!$B$14+Inputs!$B$13*D33^2</f>
        <v>0.0309519681177682</v>
      </c>
      <c r="F33" s="7" t="n">
        <f aca="false">C33*Inputs!$B$9*E33/Inputs!$B$6*1000</f>
        <v>136.747088753569</v>
      </c>
      <c r="G33" s="12" t="n">
        <f aca="false">Inputs!$B$15+Inputs!$B$13*D33^2</f>
        <v>0.0204519681177682</v>
      </c>
      <c r="H33" s="7" t="n">
        <f aca="false">C33*Inputs!$B$9*G33/Inputs!$B$6*1000</f>
        <v>90.3576499156484</v>
      </c>
      <c r="I33" s="10" t="n">
        <f aca="false">MAX(0,Inputs!$B$17*(1-A33/Inputs!$B$18))</f>
        <v>224.252577319588</v>
      </c>
      <c r="J33" s="7" t="n">
        <f aca="false">D33/E33</f>
        <v>3.49550403125145</v>
      </c>
      <c r="K33" s="2" t="n">
        <f aca="false">IF(I33&gt;=F33,A33,0)</f>
        <v>44</v>
      </c>
      <c r="L33" s="2" t="n">
        <f aca="false">IF(I33&gt;=H33,A33,0)</f>
        <v>44</v>
      </c>
      <c r="M33" s="2" t="str">
        <f aca="false">IF(F33&gt;=Inputs!$B$5*1000,A33,"")</f>
        <v/>
      </c>
      <c r="N33" s="2" t="str">
        <f aca="false">IF(D33&lt;=Inputs!$B$16,"yes","STALL")</f>
        <v>yes</v>
      </c>
    </row>
    <row r="34" customFormat="false" ht="15" hidden="false" customHeight="false" outlineLevel="0" collapsed="false">
      <c r="A34" s="6" t="n">
        <v>45</v>
      </c>
      <c r="B34" s="7" t="n">
        <f aca="false">A34*Inputs!$B$19</f>
        <v>100.6623</v>
      </c>
      <c r="C34" s="10" t="n">
        <f aca="false">0.5*Inputs!$B$8*A34^2</f>
        <v>1240.3125</v>
      </c>
      <c r="D34" s="11" t="n">
        <f aca="false">Inputs!$B$7/(C34*Inputs!$B$9)</f>
        <v>0.1034375920911</v>
      </c>
      <c r="E34" s="12" t="n">
        <f aca="false">Inputs!$B$14+Inputs!$B$13*D34^2</f>
        <v>0.0307841582427885</v>
      </c>
      <c r="F34" s="7" t="n">
        <f aca="false">C34*Inputs!$B$9*E34/Inputs!$B$6*1000</f>
        <v>142.258025758113</v>
      </c>
      <c r="G34" s="12" t="n">
        <f aca="false">Inputs!$B$15+Inputs!$B$13*D34^2</f>
        <v>0.0202841582427885</v>
      </c>
      <c r="H34" s="7" t="n">
        <f aca="false">C34*Inputs!$B$9*G34/Inputs!$B$6*1000</f>
        <v>93.7360145769204</v>
      </c>
      <c r="I34" s="10" t="n">
        <f aca="false">MAX(0,Inputs!$B$17*(1-A34/Inputs!$B$18))</f>
        <v>211.849226804124</v>
      </c>
      <c r="J34" s="7" t="n">
        <f aca="false">D34/E34</f>
        <v>3.36009161840023</v>
      </c>
      <c r="K34" s="2" t="n">
        <f aca="false">IF(I34&gt;=F34,A34,0)</f>
        <v>45</v>
      </c>
      <c r="L34" s="2" t="n">
        <f aca="false">IF(I34&gt;=H34,A34,0)</f>
        <v>45</v>
      </c>
      <c r="M34" s="2" t="str">
        <f aca="false">IF(F34&gt;=Inputs!$B$5*1000,A34,"")</f>
        <v/>
      </c>
      <c r="N34" s="2" t="str">
        <f aca="false">IF(D34&lt;=Inputs!$B$16,"yes","STALL")</f>
        <v>yes</v>
      </c>
    </row>
    <row r="35" customFormat="false" ht="15" hidden="false" customHeight="false" outlineLevel="0" collapsed="false">
      <c r="A35" s="6" t="n">
        <v>46</v>
      </c>
      <c r="B35" s="7" t="n">
        <f aca="false">A35*Inputs!$B$19</f>
        <v>102.89924</v>
      </c>
      <c r="C35" s="10" t="n">
        <f aca="false">0.5*Inputs!$B$8*A35^2</f>
        <v>1296.05</v>
      </c>
      <c r="D35" s="11" t="n">
        <f aca="false">Inputs!$B$7/(C35*Inputs!$B$9)</f>
        <v>0.0989891890285811</v>
      </c>
      <c r="E35" s="12" t="n">
        <f aca="false">Inputs!$B$14+Inputs!$B$13*D35^2</f>
        <v>0.0306340001765142</v>
      </c>
      <c r="F35" s="7" t="n">
        <f aca="false">C35*Inputs!$B$9*E35/Inputs!$B$6*1000</f>
        <v>147.925770764178</v>
      </c>
      <c r="G35" s="12" t="n">
        <f aca="false">Inputs!$B$15+Inputs!$B$13*D35^2</f>
        <v>0.0201340001765142</v>
      </c>
      <c r="H35" s="7" t="n">
        <f aca="false">C35*Inputs!$B$9*G35/Inputs!$B$6*1000</f>
        <v>97.2232642657073</v>
      </c>
      <c r="I35" s="10" t="n">
        <f aca="false">MAX(0,Inputs!$B$17*(1-A35/Inputs!$B$18))</f>
        <v>199.44587628866</v>
      </c>
      <c r="J35" s="7" t="n">
        <f aca="false">D35/E35</f>
        <v>3.23135040994326</v>
      </c>
      <c r="K35" s="2" t="n">
        <f aca="false">IF(I35&gt;=F35,A35,0)</f>
        <v>46</v>
      </c>
      <c r="L35" s="2" t="n">
        <f aca="false">IF(I35&gt;=H35,A35,0)</f>
        <v>46</v>
      </c>
      <c r="M35" s="2" t="str">
        <f aca="false">IF(F35&gt;=Inputs!$B$5*1000,A35,"")</f>
        <v/>
      </c>
      <c r="N35" s="2" t="str">
        <f aca="false">IF(D35&lt;=Inputs!$B$16,"yes","STALL")</f>
        <v>yes</v>
      </c>
    </row>
    <row r="36" customFormat="false" ht="15" hidden="false" customHeight="false" outlineLevel="0" collapsed="false">
      <c r="A36" s="6" t="n">
        <v>47</v>
      </c>
      <c r="B36" s="7" t="n">
        <f aca="false">A36*Inputs!$B$19</f>
        <v>105.13618</v>
      </c>
      <c r="C36" s="10" t="n">
        <f aca="false">0.5*Inputs!$B$8*A36^2</f>
        <v>1353.0125</v>
      </c>
      <c r="D36" s="11" t="n">
        <f aca="false">Inputs!$B$7/(C36*Inputs!$B$9)</f>
        <v>0.0948216948775362</v>
      </c>
      <c r="E36" s="12" t="n">
        <f aca="false">Inputs!$B$14+Inputs!$B$13*D36^2</f>
        <v>0.0304993119210732</v>
      </c>
      <c r="F36" s="7" t="n">
        <f aca="false">C36*Inputs!$B$9*E36/Inputs!$B$6*1000</f>
        <v>153.748265279392</v>
      </c>
      <c r="G36" s="12" t="n">
        <f aca="false">Inputs!$B$15+Inputs!$B$13*D36^2</f>
        <v>0.0199993119210732</v>
      </c>
      <c r="H36" s="7" t="n">
        <f aca="false">C36*Inputs!$B$9*G36/Inputs!$B$6*1000</f>
        <v>100.817340489637</v>
      </c>
      <c r="I36" s="10" t="n">
        <f aca="false">MAX(0,Inputs!$B$17*(1-A36/Inputs!$B$18))</f>
        <v>187.042525773196</v>
      </c>
      <c r="J36" s="7" t="n">
        <f aca="false">D36/E36</f>
        <v>3.10897816720973</v>
      </c>
      <c r="K36" s="2" t="n">
        <f aca="false">IF(I36&gt;=F36,A36,0)</f>
        <v>47</v>
      </c>
      <c r="L36" s="2" t="n">
        <f aca="false">IF(I36&gt;=H36,A36,0)</f>
        <v>47</v>
      </c>
      <c r="M36" s="2" t="str">
        <f aca="false">IF(F36&gt;=Inputs!$B$5*1000,A36,"")</f>
        <v/>
      </c>
      <c r="N36" s="2" t="str">
        <f aca="false">IF(D36&lt;=Inputs!$B$16,"yes","STALL")</f>
        <v>yes</v>
      </c>
    </row>
    <row r="37" customFormat="false" ht="15" hidden="false" customHeight="false" outlineLevel="0" collapsed="false">
      <c r="A37" s="6" t="n">
        <v>48</v>
      </c>
      <c r="B37" s="7" t="n">
        <f aca="false">A37*Inputs!$B$19</f>
        <v>107.37312</v>
      </c>
      <c r="C37" s="10" t="n">
        <f aca="false">0.5*Inputs!$B$8*A37^2</f>
        <v>1411.2</v>
      </c>
      <c r="D37" s="11" t="n">
        <f aca="false">Inputs!$B$7/(C37*Inputs!$B$9)</f>
        <v>0.0909119461738184</v>
      </c>
      <c r="E37" s="12" t="n">
        <f aca="false">Inputs!$B$14+Inputs!$B$13*D37^2</f>
        <v>0.030378219772967</v>
      </c>
      <c r="F37" s="7" t="n">
        <f aca="false">C37*Inputs!$B$9*E37/Inputs!$B$6*1000</f>
        <v>159.723662979509</v>
      </c>
      <c r="G37" s="12" t="n">
        <f aca="false">Inputs!$B$15+Inputs!$B$13*D37^2</f>
        <v>0.019878219772967</v>
      </c>
      <c r="H37" s="7" t="n">
        <f aca="false">C37*Inputs!$B$9*G37/Inputs!$B$6*1000</f>
        <v>104.516396924463</v>
      </c>
      <c r="I37" s="10" t="n">
        <f aca="false">MAX(0,Inputs!$B$17*(1-A37/Inputs!$B$18))</f>
        <v>174.639175257732</v>
      </c>
      <c r="J37" s="7" t="n">
        <f aca="false">D37/E37</f>
        <v>2.99266865712516</v>
      </c>
      <c r="K37" s="2" t="n">
        <f aca="false">IF(I37&gt;=F37,A37,0)</f>
        <v>48</v>
      </c>
      <c r="L37" s="2" t="n">
        <f aca="false">IF(I37&gt;=H37,A37,0)</f>
        <v>48</v>
      </c>
      <c r="M37" s="2" t="str">
        <f aca="false">IF(F37&gt;=Inputs!$B$5*1000,A37,"")</f>
        <v/>
      </c>
      <c r="N37" s="2" t="str">
        <f aca="false">IF(D37&lt;=Inputs!$B$16,"yes","STALL")</f>
        <v>yes</v>
      </c>
    </row>
    <row r="38" customFormat="false" ht="15" hidden="false" customHeight="false" outlineLevel="0" collapsed="false">
      <c r="A38" s="6" t="n">
        <v>49</v>
      </c>
      <c r="B38" s="7" t="n">
        <f aca="false">A38*Inputs!$B$19</f>
        <v>109.61006</v>
      </c>
      <c r="C38" s="10" t="n">
        <f aca="false">0.5*Inputs!$B$8*A38^2</f>
        <v>1470.6125</v>
      </c>
      <c r="D38" s="11" t="n">
        <f aca="false">Inputs!$B$7/(C38*Inputs!$B$9)</f>
        <v>0.0872391186940764</v>
      </c>
      <c r="E38" s="12" t="n">
        <f aca="false">Inputs!$B$14+Inputs!$B$13*D38^2</f>
        <v>0.0302691095311589</v>
      </c>
      <c r="F38" s="7" t="n">
        <f aca="false">C38*Inputs!$B$9*E38/Inputs!$B$6*1000</f>
        <v>165.850303997585</v>
      </c>
      <c r="G38" s="12" t="n">
        <f aca="false">Inputs!$B$15+Inputs!$B$13*D38^2</f>
        <v>0.0197691095311589</v>
      </c>
      <c r="H38" s="7" t="n">
        <f aca="false">C38*Inputs!$B$9*G38/Inputs!$B$6*1000</f>
        <v>108.318773703242</v>
      </c>
      <c r="I38" s="10" t="n">
        <f aca="false">MAX(0,Inputs!$B$17*(1-A38/Inputs!$B$18))</f>
        <v>162.235824742268</v>
      </c>
      <c r="J38" s="7" t="n">
        <f aca="false">D38/E38</f>
        <v>2.88211711693311</v>
      </c>
      <c r="K38" s="2" t="n">
        <f aca="false">IF(I38&gt;=F38,A38,0)</f>
        <v>0</v>
      </c>
      <c r="L38" s="2" t="n">
        <f aca="false">IF(I38&gt;=H38,A38,0)</f>
        <v>49</v>
      </c>
      <c r="M38" s="2" t="str">
        <f aca="false">IF(F38&gt;=Inputs!$B$5*1000,A38,"")</f>
        <v/>
      </c>
      <c r="N38" s="2" t="str">
        <f aca="false">IF(D38&lt;=Inputs!$B$16,"yes","STALL")</f>
        <v>yes</v>
      </c>
    </row>
    <row r="39" customFormat="false" ht="15" hidden="false" customHeight="false" outlineLevel="0" collapsed="false">
      <c r="A39" s="6" t="n">
        <v>50</v>
      </c>
      <c r="B39" s="7" t="n">
        <f aca="false">A39*Inputs!$B$19</f>
        <v>111.847</v>
      </c>
      <c r="C39" s="10" t="n">
        <f aca="false">0.5*Inputs!$B$8*A39^2</f>
        <v>1531.25</v>
      </c>
      <c r="D39" s="11" t="n">
        <f aca="false">Inputs!$B$7/(C39*Inputs!$B$9)</f>
        <v>0.083784449593791</v>
      </c>
      <c r="E39" s="12" t="n">
        <f aca="false">Inputs!$B$14+Inputs!$B$13*D39^2</f>
        <v>0.0301705862230935</v>
      </c>
      <c r="F39" s="7" t="n">
        <f aca="false">C39*Inputs!$B$9*E39/Inputs!$B$6*1000</f>
        <v>172.126692776024</v>
      </c>
      <c r="G39" s="12" t="n">
        <f aca="false">Inputs!$B$15+Inputs!$B$13*D39^2</f>
        <v>0.0196705862230935</v>
      </c>
      <c r="H39" s="7" t="n">
        <f aca="false">C39*Inputs!$B$9*G39/Inputs!$B$6*1000</f>
        <v>112.222975268378</v>
      </c>
      <c r="I39" s="10" t="n">
        <f aca="false">MAX(0,Inputs!$B$17*(1-A39/Inputs!$B$18))</f>
        <v>149.832474226804</v>
      </c>
      <c r="J39" s="7" t="n">
        <f aca="false">D39/E39</f>
        <v>2.77702425051522</v>
      </c>
      <c r="K39" s="2" t="n">
        <f aca="false">IF(I39&gt;=F39,A39,0)</f>
        <v>0</v>
      </c>
      <c r="L39" s="2" t="n">
        <f aca="false">IF(I39&gt;=H39,A39,0)</f>
        <v>50</v>
      </c>
      <c r="M39" s="2" t="str">
        <f aca="false">IF(F39&gt;=Inputs!$B$5*1000,A39,"")</f>
        <v/>
      </c>
      <c r="N39" s="2" t="str">
        <f aca="false">IF(D39&lt;=Inputs!$B$16,"yes","STALL")</f>
        <v>yes</v>
      </c>
    </row>
    <row r="40" customFormat="false" ht="15" hidden="false" customHeight="false" outlineLevel="0" collapsed="false">
      <c r="A40" s="6" t="n">
        <v>51</v>
      </c>
      <c r="B40" s="7" t="n">
        <f aca="false">A40*Inputs!$B$19</f>
        <v>114.08394</v>
      </c>
      <c r="C40" s="10" t="n">
        <f aca="false">0.5*Inputs!$B$8*A40^2</f>
        <v>1593.1125</v>
      </c>
      <c r="D40" s="11" t="n">
        <f aca="false">Inputs!$B$7/(C40*Inputs!$B$9)</f>
        <v>0.0805309973027595</v>
      </c>
      <c r="E40" s="12" t="n">
        <f aca="false">Inputs!$B$14+Inputs!$B$13*D40^2</f>
        <v>0.0300814407279746</v>
      </c>
      <c r="F40" s="7" t="n">
        <f aca="false">C40*Inputs!$B$9*E40/Inputs!$B$6*1000</f>
        <v>178.551478928216</v>
      </c>
      <c r="G40" s="12" t="n">
        <f aca="false">Inputs!$B$15+Inputs!$B$13*D40^2</f>
        <v>0.0195814407279746</v>
      </c>
      <c r="H40" s="7" t="n">
        <f aca="false">C40*Inputs!$B$9*G40/Inputs!$B$6*1000</f>
        <v>116.227651233262</v>
      </c>
      <c r="I40" s="10" t="n">
        <f aca="false">MAX(0,Inputs!$B$17*(1-A40/Inputs!$B$18))</f>
        <v>137.42912371134</v>
      </c>
      <c r="J40" s="7" t="n">
        <f aca="false">D40/E40</f>
        <v>2.67709908016037</v>
      </c>
      <c r="K40" s="2" t="n">
        <f aca="false">IF(I40&gt;=F40,A40,0)</f>
        <v>0</v>
      </c>
      <c r="L40" s="2" t="n">
        <f aca="false">IF(I40&gt;=H40,A40,0)</f>
        <v>51</v>
      </c>
      <c r="M40" s="2" t="str">
        <f aca="false">IF(F40&gt;=Inputs!$B$5*1000,A40,"")</f>
        <v/>
      </c>
      <c r="N40" s="2" t="str">
        <f aca="false">IF(D40&lt;=Inputs!$B$16,"yes","STALL")</f>
        <v>yes</v>
      </c>
    </row>
    <row r="41" customFormat="false" ht="15" hidden="false" customHeight="false" outlineLevel="0" collapsed="false">
      <c r="A41" s="6" t="n">
        <v>52</v>
      </c>
      <c r="B41" s="7" t="n">
        <f aca="false">A41*Inputs!$B$19</f>
        <v>116.32088</v>
      </c>
      <c r="C41" s="10" t="n">
        <f aca="false">0.5*Inputs!$B$8*A41^2</f>
        <v>1656.2</v>
      </c>
      <c r="D41" s="11" t="n">
        <f aca="false">Inputs!$B$7/(C41*Inputs!$B$9)</f>
        <v>0.0774634334262121</v>
      </c>
      <c r="E41" s="12" t="n">
        <f aca="false">Inputs!$B$14+Inputs!$B$13*D41^2</f>
        <v>0.030000622009462</v>
      </c>
      <c r="F41" s="7" t="n">
        <f aca="false">C41*Inputs!$B$9*E41/Inputs!$B$6*1000</f>
        <v>185.123440651294</v>
      </c>
      <c r="G41" s="12" t="n">
        <f aca="false">Inputs!$B$15+Inputs!$B$13*D41^2</f>
        <v>0.019500622009462</v>
      </c>
      <c r="H41" s="7" t="n">
        <f aca="false">C41*Inputs!$B$9*G41/Inputs!$B$6*1000</f>
        <v>120.331579795025</v>
      </c>
      <c r="I41" s="10" t="n">
        <f aca="false">MAX(0,Inputs!$B$17*(1-A41/Inputs!$B$18))</f>
        <v>125.025773195876</v>
      </c>
      <c r="J41" s="7" t="n">
        <f aca="false">D41/E41</f>
        <v>2.58206091199645</v>
      </c>
      <c r="K41" s="2" t="n">
        <f aca="false">IF(I41&gt;=F41,A41,0)</f>
        <v>0</v>
      </c>
      <c r="L41" s="2" t="n">
        <f aca="false">IF(I41&gt;=H41,A41,0)</f>
        <v>52</v>
      </c>
      <c r="M41" s="2" t="str">
        <f aca="false">IF(F41&gt;=Inputs!$B$5*1000,A41,"")</f>
        <v/>
      </c>
      <c r="N41" s="2" t="str">
        <f aca="false">IF(D41&lt;=Inputs!$B$16,"yes","STALL")</f>
        <v>yes</v>
      </c>
    </row>
    <row r="42" customFormat="false" ht="15" hidden="false" customHeight="false" outlineLevel="0" collapsed="false">
      <c r="A42" s="6" t="n">
        <v>53</v>
      </c>
      <c r="B42" s="7" t="n">
        <f aca="false">A42*Inputs!$B$19</f>
        <v>118.55782</v>
      </c>
      <c r="C42" s="10" t="n">
        <f aca="false">0.5*Inputs!$B$8*A42^2</f>
        <v>1720.5125</v>
      </c>
      <c r="D42" s="11" t="n">
        <f aca="false">Inputs!$B$7/(C42*Inputs!$B$9)</f>
        <v>0.0745678618670265</v>
      </c>
      <c r="E42" s="12" t="n">
        <f aca="false">Inputs!$B$14+Inputs!$B$13*D42^2</f>
        <v>0.0299272139295861</v>
      </c>
      <c r="F42" s="7" t="n">
        <f aca="false">C42*Inputs!$B$9*E42/Inputs!$B$6*1000</f>
        <v>191.841470308643</v>
      </c>
      <c r="G42" s="12" t="n">
        <f aca="false">Inputs!$B$15+Inputs!$B$13*D42^2</f>
        <v>0.0194272139295861</v>
      </c>
      <c r="H42" s="7" t="n">
        <f aca="false">C42*Inputs!$B$9*G42/Inputs!$B$6*1000</f>
        <v>124.533653317053</v>
      </c>
      <c r="I42" s="10" t="n">
        <f aca="false">MAX(0,Inputs!$B$17*(1-A42/Inputs!$B$18))</f>
        <v>112.622422680412</v>
      </c>
      <c r="J42" s="7" t="n">
        <f aca="false">D42/E42</f>
        <v>2.49164061988773</v>
      </c>
      <c r="K42" s="2" t="n">
        <f aca="false">IF(I42&gt;=F42,A42,0)</f>
        <v>0</v>
      </c>
      <c r="L42" s="2" t="n">
        <f aca="false">IF(I42&gt;=H42,A42,0)</f>
        <v>0</v>
      </c>
      <c r="M42" s="2" t="str">
        <f aca="false">IF(F42&gt;=Inputs!$B$5*1000,A42,"")</f>
        <v/>
      </c>
      <c r="N42" s="2" t="str">
        <f aca="false">IF(D42&lt;=Inputs!$B$16,"yes","STALL")</f>
        <v>yes</v>
      </c>
    </row>
    <row r="43" customFormat="false" ht="15" hidden="false" customHeight="false" outlineLevel="0" collapsed="false">
      <c r="A43" s="6" t="n">
        <v>54</v>
      </c>
      <c r="B43" s="7" t="n">
        <f aca="false">A43*Inputs!$B$19</f>
        <v>120.79476</v>
      </c>
      <c r="C43" s="10" t="n">
        <f aca="false">0.5*Inputs!$B$8*A43^2</f>
        <v>1786.05</v>
      </c>
      <c r="D43" s="11" t="n">
        <f aca="false">Inputs!$B$7/(C43*Inputs!$B$9)</f>
        <v>0.071831661174375</v>
      </c>
      <c r="E43" s="12" t="n">
        <f aca="false">Inputs!$B$14+Inputs!$B$13*D43^2</f>
        <v>0.029860415819246</v>
      </c>
      <c r="F43" s="7" t="n">
        <f aca="false">C43*Inputs!$B$9*E43/Inputs!$B$6*1000</f>
        <v>198.704561863751</v>
      </c>
      <c r="G43" s="12" t="n">
        <f aca="false">Inputs!$B$15+Inputs!$B$13*D43^2</f>
        <v>0.019360415819246</v>
      </c>
      <c r="H43" s="7" t="n">
        <f aca="false">C43*Inputs!$B$9*G43/Inputs!$B$6*1000</f>
        <v>128.832865762833</v>
      </c>
      <c r="I43" s="10" t="n">
        <f aca="false">MAX(0,Inputs!$B$17*(1-A43/Inputs!$B$18))</f>
        <v>100.219072164948</v>
      </c>
      <c r="J43" s="7" t="n">
        <f aca="false">D43/E43</f>
        <v>2.40558140948852</v>
      </c>
      <c r="K43" s="2" t="n">
        <f aca="false">IF(I43&gt;=F43,A43,0)</f>
        <v>0</v>
      </c>
      <c r="L43" s="2" t="n">
        <f aca="false">IF(I43&gt;=H43,A43,0)</f>
        <v>0</v>
      </c>
      <c r="M43" s="2" t="str">
        <f aca="false">IF(F43&gt;=Inputs!$B$5*1000,A43,"")</f>
        <v/>
      </c>
      <c r="N43" s="2" t="str">
        <f aca="false">IF(D43&lt;=Inputs!$B$16,"yes","STALL")</f>
        <v>yes</v>
      </c>
    </row>
    <row r="44" customFormat="false" ht="15" hidden="false" customHeight="false" outlineLevel="0" collapsed="false">
      <c r="A44" s="6" t="n">
        <v>55</v>
      </c>
      <c r="B44" s="7" t="n">
        <f aca="false">A44*Inputs!$B$19</f>
        <v>123.0317</v>
      </c>
      <c r="C44" s="10" t="n">
        <f aca="false">0.5*Inputs!$B$8*A44^2</f>
        <v>1852.8125</v>
      </c>
      <c r="D44" s="11" t="n">
        <f aca="false">Inputs!$B$7/(C44*Inputs!$B$9)</f>
        <v>0.0692433467717281</v>
      </c>
      <c r="E44" s="12" t="n">
        <f aca="false">Inputs!$B$14+Inputs!$B$13*D44^2</f>
        <v>0.0297995261410379</v>
      </c>
      <c r="F44" s="7" t="n">
        <f aca="false">C44*Inputs!$B$9*E44/Inputs!$B$6*1000</f>
        <v>205.711799898614</v>
      </c>
      <c r="G44" s="12" t="n">
        <f aca="false">Inputs!$B$15+Inputs!$B$13*D44^2</f>
        <v>0.0192995261410379</v>
      </c>
      <c r="H44" s="7" t="n">
        <f aca="false">C44*Inputs!$B$9*G44/Inputs!$B$6*1000</f>
        <v>133.228301714364</v>
      </c>
      <c r="I44" s="10" t="n">
        <f aca="false">MAX(0,Inputs!$B$17*(1-A44/Inputs!$B$18))</f>
        <v>87.8157216494845</v>
      </c>
      <c r="J44" s="7" t="n">
        <f aca="false">D44/E44</f>
        <v>2.32363918956318</v>
      </c>
      <c r="K44" s="2" t="n">
        <f aca="false">IF(I44&gt;=F44,A44,0)</f>
        <v>0</v>
      </c>
      <c r="L44" s="2" t="n">
        <f aca="false">IF(I44&gt;=H44,A44,0)</f>
        <v>0</v>
      </c>
      <c r="M44" s="2" t="str">
        <f aca="false">IF(F44&gt;=Inputs!$B$5*1000,A44,"")</f>
        <v/>
      </c>
      <c r="N44" s="2" t="str">
        <f aca="false">IF(D44&lt;=Inputs!$B$16,"yes","STALL")</f>
        <v>yes</v>
      </c>
    </row>
    <row r="45" customFormat="false" ht="15" hidden="false" customHeight="false" outlineLevel="0" collapsed="false">
      <c r="A45" s="6" t="n">
        <v>56</v>
      </c>
      <c r="B45" s="7" t="n">
        <f aca="false">A45*Inputs!$B$19</f>
        <v>125.26864</v>
      </c>
      <c r="C45" s="10" t="n">
        <f aca="false">0.5*Inputs!$B$8*A45^2</f>
        <v>1920.8</v>
      </c>
      <c r="D45" s="11" t="n">
        <f aca="false">Inputs!$B$7/(C45*Inputs!$B$9)</f>
        <v>0.0667924502501523</v>
      </c>
      <c r="E45" s="12" t="n">
        <f aca="false">Inputs!$B$14+Inputs!$B$13*D45^2</f>
        <v>0.0297439287071076</v>
      </c>
      <c r="F45" s="7" t="n">
        <f aca="false">C45*Inputs!$B$9*E45/Inputs!$B$6*1000</f>
        <v>212.862349992393</v>
      </c>
      <c r="G45" s="12" t="n">
        <f aca="false">Inputs!$B$15+Inputs!$B$13*D45^2</f>
        <v>0.0192439287071076</v>
      </c>
      <c r="H45" s="7" t="n">
        <f aca="false">C45*Inputs!$B$9*G45/Inputs!$B$6*1000</f>
        <v>137.719126750803</v>
      </c>
      <c r="I45" s="10" t="n">
        <f aca="false">MAX(0,Inputs!$B$17*(1-A45/Inputs!$B$18))</f>
        <v>75.4123711340206</v>
      </c>
      <c r="J45" s="7" t="n">
        <f aca="false">D45/E45</f>
        <v>2.24558265008858</v>
      </c>
      <c r="K45" s="2" t="n">
        <f aca="false">IF(I45&gt;=F45,A45,0)</f>
        <v>0</v>
      </c>
      <c r="L45" s="2" t="n">
        <f aca="false">IF(I45&gt;=H45,A45,0)</f>
        <v>0</v>
      </c>
      <c r="M45" s="2" t="str">
        <f aca="false">IF(F45&gt;=Inputs!$B$5*1000,A45,"")</f>
        <v/>
      </c>
      <c r="N45" s="2" t="str">
        <f aca="false">IF(D45&lt;=Inputs!$B$16,"yes","STALL")</f>
        <v>yes</v>
      </c>
    </row>
    <row r="46" customFormat="false" ht="15" hidden="false" customHeight="false" outlineLevel="0" collapsed="false">
      <c r="A46" s="6" t="n">
        <v>57</v>
      </c>
      <c r="B46" s="7" t="n">
        <f aca="false">A46*Inputs!$B$19</f>
        <v>127.50558</v>
      </c>
      <c r="C46" s="10" t="n">
        <f aca="false">0.5*Inputs!$B$8*A46^2</f>
        <v>1990.0125</v>
      </c>
      <c r="D46" s="11" t="n">
        <f aca="false">Inputs!$B$7/(C46*Inputs!$B$9)</f>
        <v>0.0644694133531787</v>
      </c>
      <c r="E46" s="12" t="n">
        <f aca="false">Inputs!$B$14+Inputs!$B$13*D46^2</f>
        <v>0.0296930810156549</v>
      </c>
      <c r="F46" s="7" t="n">
        <f aca="false">C46*Inputs!$B$9*E46/Inputs!$B$6*1000</f>
        <v>220.155450271105</v>
      </c>
      <c r="G46" s="12" t="n">
        <f aca="false">Inputs!$B$15+Inputs!$B$13*D46^2</f>
        <v>0.0191930810156549</v>
      </c>
      <c r="H46" s="7" t="n">
        <f aca="false">C46*Inputs!$B$9*G46/Inputs!$B$6*1000</f>
        <v>142.30457899817</v>
      </c>
      <c r="I46" s="10" t="n">
        <f aca="false">MAX(0,Inputs!$B$17*(1-A46/Inputs!$B$18))</f>
        <v>63.0090206185567</v>
      </c>
      <c r="J46" s="7" t="n">
        <f aca="false">D46/E46</f>
        <v>2.17119312472791</v>
      </c>
      <c r="K46" s="2" t="n">
        <f aca="false">IF(I46&gt;=F46,A46,0)</f>
        <v>0</v>
      </c>
      <c r="L46" s="2" t="n">
        <f aca="false">IF(I46&gt;=H46,A46,0)</f>
        <v>0</v>
      </c>
      <c r="M46" s="2" t="str">
        <f aca="false">IF(F46&gt;=Inputs!$B$5*1000,A46,"")</f>
        <v/>
      </c>
      <c r="N46" s="2" t="str">
        <f aca="false">IF(D46&lt;=Inputs!$B$16,"yes","STALL")</f>
        <v>yes</v>
      </c>
    </row>
    <row r="47" customFormat="false" ht="15" hidden="false" customHeight="false" outlineLevel="0" collapsed="false">
      <c r="A47" s="6" t="n">
        <v>58</v>
      </c>
      <c r="B47" s="7" t="n">
        <f aca="false">A47*Inputs!$B$19</f>
        <v>129.74252</v>
      </c>
      <c r="C47" s="10" t="n">
        <f aca="false">0.5*Inputs!$B$8*A47^2</f>
        <v>2060.45</v>
      </c>
      <c r="D47" s="11" t="n">
        <f aca="false">Inputs!$B$7/(C47*Inputs!$B$9)</f>
        <v>0.0622654946446128</v>
      </c>
      <c r="E47" s="12" t="n">
        <f aca="false">Inputs!$B$14+Inputs!$B$13*D47^2</f>
        <v>0.0296465043503161</v>
      </c>
      <c r="F47" s="7" t="n">
        <f aca="false">C47*Inputs!$B$9*E47/Inputs!$B$6*1000</f>
        <v>227.590403968262</v>
      </c>
      <c r="G47" s="12" t="n">
        <f aca="false">Inputs!$B$15+Inputs!$B$13*D47^2</f>
        <v>0.0191465043503161</v>
      </c>
      <c r="H47" s="7" t="n">
        <f aca="false">C47*Inputs!$B$9*G47/Inputs!$B$6*1000</f>
        <v>146.983961689975</v>
      </c>
      <c r="I47" s="10" t="n">
        <f aca="false">MAX(0,Inputs!$B$17*(1-A47/Inputs!$B$18))</f>
        <v>50.6056701030928</v>
      </c>
      <c r="J47" s="7" t="n">
        <f aca="false">D47/E47</f>
        <v>2.10026429790361</v>
      </c>
      <c r="K47" s="2" t="n">
        <f aca="false">IF(I47&gt;=F47,A47,0)</f>
        <v>0</v>
      </c>
      <c r="L47" s="2" t="n">
        <f aca="false">IF(I47&gt;=H47,A47,0)</f>
        <v>0</v>
      </c>
      <c r="M47" s="2" t="str">
        <f aca="false">IF(F47&gt;=Inputs!$B$5*1000,A47,"")</f>
        <v/>
      </c>
      <c r="N47" s="2" t="str">
        <f aca="false">IF(D47&lt;=Inputs!$B$16,"yes","STALL")</f>
        <v>yes</v>
      </c>
    </row>
    <row r="48" customFormat="false" ht="15" hidden="false" customHeight="false" outlineLevel="0" collapsed="false">
      <c r="A48" s="6" t="n">
        <v>59</v>
      </c>
      <c r="B48" s="7" t="n">
        <f aca="false">A48*Inputs!$B$19</f>
        <v>131.97946</v>
      </c>
      <c r="C48" s="10" t="n">
        <f aca="false">0.5*Inputs!$B$8*A48^2</f>
        <v>2132.1125</v>
      </c>
      <c r="D48" s="11" t="n">
        <f aca="false">Inputs!$B$7/(C48*Inputs!$B$9)</f>
        <v>0.0601726871544032</v>
      </c>
      <c r="E48" s="12" t="n">
        <f aca="false">Inputs!$B$14+Inputs!$B$13*D48^2</f>
        <v>0.0296037753512778</v>
      </c>
      <c r="F48" s="7" t="n">
        <f aca="false">C48*Inputs!$B$9*E48/Inputs!$B$6*1000</f>
        <v>235.166572860546</v>
      </c>
      <c r="G48" s="12" t="n">
        <f aca="false">Inputs!$B$15+Inputs!$B$13*D48^2</f>
        <v>0.0191037753512778</v>
      </c>
      <c r="H48" s="7" t="n">
        <f aca="false">C48*Inputs!$B$9*G48/Inputs!$B$6*1000</f>
        <v>151.7566366029</v>
      </c>
      <c r="I48" s="10" t="n">
        <f aca="false">MAX(0,Inputs!$B$17*(1-A48/Inputs!$B$18))</f>
        <v>38.2023195876288</v>
      </c>
      <c r="J48" s="7" t="n">
        <f aca="false">D48/E48</f>
        <v>2.03260180299287</v>
      </c>
      <c r="K48" s="2" t="n">
        <f aca="false">IF(I48&gt;=F48,A48,0)</f>
        <v>0</v>
      </c>
      <c r="L48" s="2" t="n">
        <f aca="false">IF(I48&gt;=H48,A48,0)</f>
        <v>0</v>
      </c>
      <c r="M48" s="2" t="str">
        <f aca="false">IF(F48&gt;=Inputs!$B$5*1000,A48,"")</f>
        <v/>
      </c>
      <c r="N48" s="2" t="str">
        <f aca="false">IF(D48&lt;=Inputs!$B$16,"yes","STALL")</f>
        <v>yes</v>
      </c>
    </row>
    <row r="49" customFormat="false" ht="15" hidden="false" customHeight="false" outlineLevel="0" collapsed="false">
      <c r="A49" s="6" t="n">
        <v>60</v>
      </c>
      <c r="B49" s="7" t="n">
        <f aca="false">A49*Inputs!$B$19</f>
        <v>134.2164</v>
      </c>
      <c r="C49" s="10" t="n">
        <f aca="false">0.5*Inputs!$B$8*A49^2</f>
        <v>2205</v>
      </c>
      <c r="D49" s="11" t="n">
        <f aca="false">Inputs!$B$7/(C49*Inputs!$B$9)</f>
        <v>0.0581836455512438</v>
      </c>
      <c r="E49" s="12" t="n">
        <f aca="false">Inputs!$B$14+Inputs!$B$13*D49^2</f>
        <v>0.0295645188190073</v>
      </c>
      <c r="F49" s="7" t="n">
        <f aca="false">C49*Inputs!$B$9*E49/Inputs!$B$6*1000</f>
        <v>242.883371462849</v>
      </c>
      <c r="G49" s="12" t="n">
        <f aca="false">Inputs!$B$15+Inputs!$B$13*D49^2</f>
        <v>0.0190645188190073</v>
      </c>
      <c r="H49" s="7" t="n">
        <f aca="false">C49*Inputs!$B$9*G49/Inputs!$B$6*1000</f>
        <v>156.62201825184</v>
      </c>
      <c r="I49" s="10" t="n">
        <f aca="false">MAX(0,Inputs!$B$17*(1-A49/Inputs!$B$18))</f>
        <v>25.7989690721649</v>
      </c>
      <c r="J49" s="7" t="n">
        <f aca="false">D49/E49</f>
        <v>1.96802274738316</v>
      </c>
      <c r="K49" s="2" t="n">
        <f aca="false">IF(I49&gt;=F49,A49,0)</f>
        <v>0</v>
      </c>
      <c r="L49" s="2" t="n">
        <f aca="false">IF(I49&gt;=H49,A49,0)</f>
        <v>0</v>
      </c>
      <c r="M49" s="2" t="str">
        <f aca="false">IF(F49&gt;=Inputs!$B$5*1000,A49,"")</f>
        <v/>
      </c>
      <c r="N49" s="2" t="str">
        <f aca="false">IF(D49&lt;=Inputs!$B$16,"yes","STALL")</f>
        <v>yes</v>
      </c>
    </row>
    <row r="50" customFormat="false" ht="15" hidden="false" customHeight="false" outlineLevel="0" collapsed="false">
      <c r="A50" s="6" t="n">
        <v>61</v>
      </c>
      <c r="B50" s="7" t="n">
        <f aca="false">A50*Inputs!$B$19</f>
        <v>136.45334</v>
      </c>
      <c r="C50" s="10" t="n">
        <f aca="false">0.5*Inputs!$B$8*A50^2</f>
        <v>2279.1125</v>
      </c>
      <c r="D50" s="11" t="n">
        <f aca="false">Inputs!$B$7/(C50*Inputs!$B$9)</f>
        <v>0.0562916216029233</v>
      </c>
      <c r="E50" s="12" t="n">
        <f aca="false">Inputs!$B$14+Inputs!$B$13*D50^2</f>
        <v>0.0295284015535304</v>
      </c>
      <c r="F50" s="7" t="n">
        <f aca="false">C50*Inputs!$B$9*E50/Inputs!$B$6*1000</f>
        <v>250.74026188392</v>
      </c>
      <c r="G50" s="12" t="n">
        <f aca="false">Inputs!$B$15+Inputs!$B$13*D50^2</f>
        <v>0.0190284015535304</v>
      </c>
      <c r="H50" s="7" t="n">
        <f aca="false">C50*Inputs!$B$9*G50/Inputs!$B$6*1000</f>
        <v>161.579568745541</v>
      </c>
      <c r="I50" s="10" t="n">
        <f aca="false">MAX(0,Inputs!$B$17*(1-A50/Inputs!$B$18))</f>
        <v>13.395618556701</v>
      </c>
      <c r="J50" s="7" t="n">
        <f aca="false">D50/E50</f>
        <v>1.90635519165761</v>
      </c>
      <c r="K50" s="2" t="n">
        <f aca="false">IF(I50&gt;=F50,A50,0)</f>
        <v>0</v>
      </c>
      <c r="L50" s="2" t="n">
        <f aca="false">IF(I50&gt;=H50,A50,0)</f>
        <v>0</v>
      </c>
      <c r="M50" s="2" t="str">
        <f aca="false">IF(F50&gt;=Inputs!$B$5*1000,A50,"")</f>
        <v/>
      </c>
      <c r="N50" s="2" t="str">
        <f aca="false">IF(D50&lt;=Inputs!$B$16,"yes","STALL")</f>
        <v>yes</v>
      </c>
    </row>
    <row r="51" customFormat="false" ht="15" hidden="false" customHeight="false" outlineLevel="0" collapsed="false">
      <c r="A51" s="6" t="n">
        <v>62</v>
      </c>
      <c r="B51" s="7" t="n">
        <f aca="false">A51*Inputs!$B$19</f>
        <v>138.69028</v>
      </c>
      <c r="C51" s="10" t="n">
        <f aca="false">0.5*Inputs!$B$8*A51^2</f>
        <v>2354.45</v>
      </c>
      <c r="D51" s="11" t="n">
        <f aca="false">Inputs!$B$7/(C51*Inputs!$B$9)</f>
        <v>0.0544904068638079</v>
      </c>
      <c r="E51" s="12" t="n">
        <f aca="false">Inputs!$B$14+Inputs!$B$13*D51^2</f>
        <v>0.0294951270662994</v>
      </c>
      <c r="F51" s="7" t="n">
        <f aca="false">C51*Inputs!$B$9*E51/Inputs!$B$6*1000</f>
        <v>258.736749258067</v>
      </c>
      <c r="G51" s="12" t="n">
        <f aca="false">Inputs!$B$15+Inputs!$B$13*D51^2</f>
        <v>0.0189951270662994</v>
      </c>
      <c r="H51" s="7" t="n">
        <f aca="false">C51*Inputs!$B$9*G51/Inputs!$B$6*1000</f>
        <v>166.628793218312</v>
      </c>
      <c r="I51" s="10" t="n">
        <f aca="false">MAX(0,Inputs!$B$17*(1-A51/Inputs!$B$18))</f>
        <v>0.99226804123711</v>
      </c>
      <c r="J51" s="7" t="n">
        <f aca="false">D51/E51</f>
        <v>1.84743760355139</v>
      </c>
      <c r="K51" s="2" t="n">
        <f aca="false">IF(I51&gt;=F51,A51,0)</f>
        <v>0</v>
      </c>
      <c r="L51" s="2" t="n">
        <f aca="false">IF(I51&gt;=H51,A51,0)</f>
        <v>0</v>
      </c>
      <c r="M51" s="2" t="str">
        <f aca="false">IF(F51&gt;=Inputs!$B$5*1000,A51,"")</f>
        <v/>
      </c>
      <c r="N51" s="2" t="str">
        <f aca="false">IF(D51&lt;=Inputs!$B$16,"yes","STALL")</f>
        <v>yes</v>
      </c>
    </row>
    <row r="52" customFormat="false" ht="15" hidden="false" customHeight="false" outlineLevel="0" collapsed="false">
      <c r="A52" s="6" t="n">
        <v>63</v>
      </c>
      <c r="B52" s="7" t="n">
        <f aca="false">A52*Inputs!$B$19</f>
        <v>140.92722</v>
      </c>
      <c r="C52" s="10" t="n">
        <f aca="false">0.5*Inputs!$B$8*A52^2</f>
        <v>2431.0125</v>
      </c>
      <c r="D52" s="11" t="n">
        <f aca="false">Inputs!$B$7/(C52*Inputs!$B$9)</f>
        <v>0.0527742816791327</v>
      </c>
      <c r="E52" s="12" t="n">
        <f aca="false">Inputs!$B$14+Inputs!$B$13*D52^2</f>
        <v>0.0294644310294639</v>
      </c>
      <c r="F52" s="7" t="n">
        <f aca="false">C52*Inputs!$B$9*E52/Inputs!$B$6*1000</f>
        <v>266.87237768037</v>
      </c>
      <c r="G52" s="12" t="n">
        <f aca="false">Inputs!$B$15+Inputs!$B$13*D52^2</f>
        <v>0.0189644310294639</v>
      </c>
      <c r="H52" s="7" t="n">
        <f aca="false">C52*Inputs!$B$9*G52/Inputs!$B$6*1000</f>
        <v>171.769235765233</v>
      </c>
      <c r="I52" s="10" t="n">
        <f aca="false">MAX(0,Inputs!$B$17*(1-A52/Inputs!$B$18))</f>
        <v>0</v>
      </c>
      <c r="J52" s="7" t="n">
        <f aca="false">D52/E52</f>
        <v>1.79111830214401</v>
      </c>
      <c r="K52" s="2" t="n">
        <f aca="false">IF(I52&gt;=F52,A52,0)</f>
        <v>0</v>
      </c>
      <c r="L52" s="2" t="n">
        <f aca="false">IF(I52&gt;=H52,A52,0)</f>
        <v>0</v>
      </c>
      <c r="M52" s="2" t="str">
        <f aca="false">IF(F52&gt;=Inputs!$B$5*1000,A52,"")</f>
        <v/>
      </c>
      <c r="N52" s="2" t="str">
        <f aca="false">IF(D52&lt;=Inputs!$B$16,"yes","STALL")</f>
        <v>yes</v>
      </c>
    </row>
    <row r="53" customFormat="false" ht="15" hidden="false" customHeight="false" outlineLevel="0" collapsed="false">
      <c r="A53" s="6" t="n">
        <v>64</v>
      </c>
      <c r="B53" s="7" t="n">
        <f aca="false">A53*Inputs!$B$19</f>
        <v>143.16416</v>
      </c>
      <c r="C53" s="10" t="n">
        <f aca="false">0.5*Inputs!$B$8*A53^2</f>
        <v>2508.8</v>
      </c>
      <c r="D53" s="11" t="n">
        <f aca="false">Inputs!$B$7/(C53*Inputs!$B$9)</f>
        <v>0.0511379697227728</v>
      </c>
      <c r="E53" s="12" t="n">
        <f aca="false">Inputs!$B$14+Inputs!$B$13*D53^2</f>
        <v>0.0294360773500404</v>
      </c>
      <c r="F53" s="7" t="n">
        <f aca="false">C53*Inputs!$B$9*E53/Inputs!$B$6*1000</f>
        <v>275.146726582957</v>
      </c>
      <c r="G53" s="12" t="n">
        <f aca="false">Inputs!$B$15+Inputs!$B$13*D53^2</f>
        <v>0.0189360773500404</v>
      </c>
      <c r="H53" s="7" t="n">
        <f aca="false">C53*Inputs!$B$9*G53/Inputs!$B$6*1000</f>
        <v>177.000475818431</v>
      </c>
      <c r="I53" s="10" t="n">
        <f aca="false">MAX(0,Inputs!$B$17*(1-A53/Inputs!$B$18))</f>
        <v>0</v>
      </c>
      <c r="J53" s="7" t="n">
        <f aca="false">D53/E53</f>
        <v>1.73725490372455</v>
      </c>
      <c r="K53" s="2" t="n">
        <f aca="false">IF(I53&gt;=F53,A53,0)</f>
        <v>0</v>
      </c>
      <c r="L53" s="2" t="n">
        <f aca="false">IF(I53&gt;=H53,A53,0)</f>
        <v>0</v>
      </c>
      <c r="M53" s="2" t="str">
        <f aca="false">IF(F53&gt;=Inputs!$B$5*1000,A53,"")</f>
        <v/>
      </c>
      <c r="N53" s="2" t="str">
        <f aca="false">IF(D53&lt;=Inputs!$B$16,"yes","STALL")</f>
        <v>yes</v>
      </c>
    </row>
    <row r="54" customFormat="false" ht="15" hidden="false" customHeight="false" outlineLevel="0" collapsed="false">
      <c r="A54" s="6" t="n">
        <v>65</v>
      </c>
      <c r="B54" s="7" t="n">
        <f aca="false">A54*Inputs!$B$19</f>
        <v>145.4011</v>
      </c>
      <c r="C54" s="10" t="n">
        <f aca="false">0.5*Inputs!$B$8*A54^2</f>
        <v>2587.8125</v>
      </c>
      <c r="D54" s="11" t="n">
        <f aca="false">Inputs!$B$7/(C54*Inputs!$B$9)</f>
        <v>0.0495765973927757</v>
      </c>
      <c r="E54" s="12" t="n">
        <f aca="false">Inputs!$B$14+Inputs!$B$13*D54^2</f>
        <v>0.0294098547750756</v>
      </c>
      <c r="F54" s="7" t="n">
        <f aca="false">C54*Inputs!$B$9*E54/Inputs!$B$6*1000</f>
        <v>283.55940749848</v>
      </c>
      <c r="G54" s="12" t="n">
        <f aca="false">Inputs!$B$15+Inputs!$B$13*D54^2</f>
        <v>0.0189098547750756</v>
      </c>
      <c r="H54" s="7" t="n">
        <f aca="false">C54*Inputs!$B$9*G54/Inputs!$B$6*1000</f>
        <v>182.322124910559</v>
      </c>
      <c r="I54" s="10" t="n">
        <f aca="false">MAX(0,Inputs!$B$17*(1-A54/Inputs!$B$18))</f>
        <v>0</v>
      </c>
      <c r="J54" s="7" t="n">
        <f aca="false">D54/E54</f>
        <v>1.68571377764133</v>
      </c>
      <c r="K54" s="2" t="n">
        <f aca="false">IF(I54&gt;=F54,A54,0)</f>
        <v>0</v>
      </c>
      <c r="L54" s="2" t="n">
        <f aca="false">IF(I54&gt;=H54,A54,0)</f>
        <v>0</v>
      </c>
      <c r="M54" s="2" t="str">
        <f aca="false">IF(F54&gt;=Inputs!$B$5*1000,A54,"")</f>
        <v/>
      </c>
      <c r="N54" s="2" t="str">
        <f aca="false">IF(D54&lt;=Inputs!$B$16,"yes","STALL")</f>
        <v>yes</v>
      </c>
    </row>
    <row r="55" customFormat="false" ht="15" hidden="false" customHeight="false" outlineLevel="0" collapsed="false">
      <c r="A55" s="6" t="n">
        <v>66</v>
      </c>
      <c r="B55" s="7" t="n">
        <f aca="false">A55*Inputs!$B$19</f>
        <v>147.63804</v>
      </c>
      <c r="C55" s="10" t="n">
        <f aca="false">0.5*Inputs!$B$8*A55^2</f>
        <v>2668.05</v>
      </c>
      <c r="D55" s="11" t="n">
        <f aca="false">Inputs!$B$7/(C55*Inputs!$B$9)</f>
        <v>0.0480856574803667</v>
      </c>
      <c r="E55" s="12" t="n">
        <f aca="false">Inputs!$B$14+Inputs!$B$13*D55^2</f>
        <v>0.0293855739491888</v>
      </c>
      <c r="F55" s="7" t="n">
        <f aca="false">C55*Inputs!$B$9*E55/Inputs!$B$6*1000</f>
        <v>292.110061164232</v>
      </c>
      <c r="G55" s="12" t="n">
        <f aca="false">Inputs!$B$15+Inputs!$B$13*D55^2</f>
        <v>0.0188855739491888</v>
      </c>
      <c r="H55" s="7" t="n">
        <f aca="false">C55*Inputs!$B$9*G55/Inputs!$B$6*1000</f>
        <v>187.733823778911</v>
      </c>
      <c r="I55" s="10" t="n">
        <f aca="false">MAX(0,Inputs!$B$17*(1-A55/Inputs!$B$18))</f>
        <v>0</v>
      </c>
      <c r="J55" s="7" t="n">
        <f aca="false">D55/E55</f>
        <v>1.63636951803333</v>
      </c>
      <c r="K55" s="2" t="n">
        <f aca="false">IF(I55&gt;=F55,A55,0)</f>
        <v>0</v>
      </c>
      <c r="L55" s="2" t="n">
        <f aca="false">IF(I55&gt;=H55,A55,0)</f>
        <v>0</v>
      </c>
      <c r="M55" s="2" t="str">
        <f aca="false">IF(F55&gt;=Inputs!$B$5*1000,A55,"")</f>
        <v/>
      </c>
      <c r="N55" s="2" t="str">
        <f aca="false">IF(D55&lt;=Inputs!$B$16,"yes","STALL")</f>
        <v>yes</v>
      </c>
    </row>
    <row r="56" customFormat="false" ht="15" hidden="false" customHeight="false" outlineLevel="0" collapsed="false">
      <c r="A56" s="6" t="n">
        <v>67</v>
      </c>
      <c r="B56" s="7" t="n">
        <f aca="false">A56*Inputs!$B$19</f>
        <v>149.87498</v>
      </c>
      <c r="C56" s="10" t="n">
        <f aca="false">0.5*Inputs!$B$8*A56^2</f>
        <v>2749.5125</v>
      </c>
      <c r="D56" s="11" t="n">
        <f aca="false">Inputs!$B$7/(C56*Inputs!$B$9)</f>
        <v>0.046660976606032</v>
      </c>
      <c r="E56" s="12" t="n">
        <f aca="false">Inputs!$B$14+Inputs!$B$13*D56^2</f>
        <v>0.0293630648584927</v>
      </c>
      <c r="F56" s="7" t="n">
        <f aca="false">C56*Inputs!$B$9*E56/Inputs!$B$6*1000</f>
        <v>300.798354926526</v>
      </c>
      <c r="G56" s="12" t="n">
        <f aca="false">Inputs!$B$15+Inputs!$B$13*D56^2</f>
        <v>0.0188630648584927</v>
      </c>
      <c r="H56" s="7" t="n">
        <f aca="false">C56*Inputs!$B$9*G56/Inputs!$B$6*1000</f>
        <v>193.235239769798</v>
      </c>
      <c r="I56" s="10" t="n">
        <f aca="false">MAX(0,Inputs!$B$17*(1-A56/Inputs!$B$18))</f>
        <v>0</v>
      </c>
      <c r="J56" s="7" t="n">
        <f aca="false">D56/E56</f>
        <v>1.58910443548389</v>
      </c>
      <c r="K56" s="2" t="n">
        <f aca="false">IF(I56&gt;=F56,A56,0)</f>
        <v>0</v>
      </c>
      <c r="L56" s="2" t="n">
        <f aca="false">IF(I56&gt;=H56,A56,0)</f>
        <v>0</v>
      </c>
      <c r="M56" s="2" t="str">
        <f aca="false">IF(F56&gt;=Inputs!$B$5*1000,A56,"")</f>
        <v/>
      </c>
      <c r="N56" s="2" t="str">
        <f aca="false">IF(D56&lt;=Inputs!$B$16,"yes","STALL")</f>
        <v>yes</v>
      </c>
    </row>
    <row r="57" customFormat="false" ht="15" hidden="false" customHeight="false" outlineLevel="0" collapsed="false">
      <c r="A57" s="6" t="n">
        <v>68</v>
      </c>
      <c r="B57" s="7" t="n">
        <f aca="false">A57*Inputs!$B$19</f>
        <v>152.11192</v>
      </c>
      <c r="C57" s="10" t="n">
        <f aca="false">0.5*Inputs!$B$8*A57^2</f>
        <v>2832.2</v>
      </c>
      <c r="D57" s="11" t="n">
        <f aca="false">Inputs!$B$7/(C57*Inputs!$B$9)</f>
        <v>0.0452986859828022</v>
      </c>
      <c r="E57" s="12" t="n">
        <f aca="false">Inputs!$B$14+Inputs!$B$13*D57^2</f>
        <v>0.0293421746053357</v>
      </c>
      <c r="F57" s="7" t="n">
        <f aca="false">C57*Inputs!$B$9*E57/Inputs!$B$6*1000</f>
        <v>309.623980410278</v>
      </c>
      <c r="G57" s="12" t="n">
        <f aca="false">Inputs!$B$15+Inputs!$B$13*D57^2</f>
        <v>0.0188421746053357</v>
      </c>
      <c r="H57" s="7" t="n">
        <f aca="false">C57*Inputs!$B$9*G57/Inputs!$B$6*1000</f>
        <v>198.826064508137</v>
      </c>
      <c r="I57" s="10" t="n">
        <f aca="false">MAX(0,Inputs!$B$17*(1-A57/Inputs!$B$18))</f>
        <v>0</v>
      </c>
      <c r="J57" s="7" t="n">
        <f aca="false">D57/E57</f>
        <v>1.5438080712179</v>
      </c>
      <c r="K57" s="2" t="n">
        <f aca="false">IF(I57&gt;=F57,A57,0)</f>
        <v>0</v>
      </c>
      <c r="L57" s="2" t="n">
        <f aca="false">IF(I57&gt;=H57,A57,0)</f>
        <v>0</v>
      </c>
      <c r="M57" s="2" t="str">
        <f aca="false">IF(F57&gt;=Inputs!$B$5*1000,A57,"")</f>
        <v/>
      </c>
      <c r="N57" s="2" t="str">
        <f aca="false">IF(D57&lt;=Inputs!$B$16,"yes","STALL")</f>
        <v>yes</v>
      </c>
    </row>
    <row r="58" customFormat="false" ht="15" hidden="false" customHeight="false" outlineLevel="0" collapsed="false">
      <c r="A58" s="6" t="n">
        <v>69</v>
      </c>
      <c r="B58" s="7" t="n">
        <f aca="false">A58*Inputs!$B$19</f>
        <v>154.34886</v>
      </c>
      <c r="C58" s="10" t="n">
        <f aca="false">0.5*Inputs!$B$8*A58^2</f>
        <v>2916.1125</v>
      </c>
      <c r="D58" s="11" t="n">
        <f aca="false">Inputs!$B$7/(C58*Inputs!$B$9)</f>
        <v>0.0439951951238138</v>
      </c>
      <c r="E58" s="12" t="n">
        <f aca="false">Inputs!$B$14+Inputs!$B$13*D58^2</f>
        <v>0.0293227654669658</v>
      </c>
      <c r="F58" s="7" t="n">
        <f aca="false">C58*Inputs!$B$9*E58/Inputs!$B$6*1000</f>
        <v>318.58665142328</v>
      </c>
      <c r="G58" s="12" t="n">
        <f aca="false">Inputs!$B$15+Inputs!$B$13*D58^2</f>
        <v>0.0188227654669658</v>
      </c>
      <c r="H58" s="7" t="n">
        <f aca="false">C58*Inputs!$B$9*G58/Inputs!$B$6*1000</f>
        <v>204.50601180172</v>
      </c>
      <c r="I58" s="10" t="n">
        <f aca="false">MAX(0,Inputs!$B$17*(1-A58/Inputs!$B$18))</f>
        <v>0</v>
      </c>
      <c r="J58" s="7" t="n">
        <f aca="false">D58/E58</f>
        <v>1.50037673538594</v>
      </c>
      <c r="K58" s="2" t="n">
        <f aca="false">IF(I58&gt;=F58,A58,0)</f>
        <v>0</v>
      </c>
      <c r="L58" s="2" t="n">
        <f aca="false">IF(I58&gt;=H58,A58,0)</f>
        <v>0</v>
      </c>
      <c r="M58" s="2" t="str">
        <f aca="false">IF(F58&gt;=Inputs!$B$5*1000,A58,"")</f>
        <v/>
      </c>
      <c r="N58" s="2" t="str">
        <f aca="false">IF(D58&lt;=Inputs!$B$16,"yes","STALL")</f>
        <v>yes</v>
      </c>
    </row>
    <row r="59" customFormat="false" ht="15" hidden="false" customHeight="false" outlineLevel="0" collapsed="false">
      <c r="A59" s="6" t="n">
        <v>70</v>
      </c>
      <c r="B59" s="7" t="n">
        <f aca="false">A59*Inputs!$B$19</f>
        <v>156.5858</v>
      </c>
      <c r="C59" s="10" t="n">
        <f aca="false">0.5*Inputs!$B$8*A59^2</f>
        <v>3001.25</v>
      </c>
      <c r="D59" s="11" t="n">
        <f aca="false">Inputs!$B$7/(C59*Inputs!$B$9)</f>
        <v>0.0427471681600975</v>
      </c>
      <c r="E59" s="12" t="n">
        <f aca="false">Inputs!$B$14+Inputs!$B$13*D59^2</f>
        <v>0.0293047131984313</v>
      </c>
      <c r="F59" s="7" t="n">
        <f aca="false">C59*Inputs!$B$9*E59/Inputs!$B$6*1000</f>
        <v>327.686102068526</v>
      </c>
      <c r="G59" s="12" t="n">
        <f aca="false">Inputs!$B$15+Inputs!$B$13*D59^2</f>
        <v>0.0188047131984313</v>
      </c>
      <c r="H59" s="7" t="n">
        <f aca="false">C59*Inputs!$B$9*G59/Inputs!$B$6*1000</f>
        <v>210.274815753541</v>
      </c>
      <c r="I59" s="10" t="n">
        <f aca="false">MAX(0,Inputs!$B$17*(1-A59/Inputs!$B$18))</f>
        <v>0</v>
      </c>
      <c r="J59" s="7" t="n">
        <f aca="false">D59/E59</f>
        <v>1.45871307016872</v>
      </c>
      <c r="K59" s="2" t="n">
        <f aca="false">IF(I59&gt;=F59,A59,0)</f>
        <v>0</v>
      </c>
      <c r="L59" s="2" t="n">
        <f aca="false">IF(I59&gt;=H59,A59,0)</f>
        <v>0</v>
      </c>
      <c r="M59" s="2" t="str">
        <f aca="false">IF(F59&gt;=Inputs!$B$5*1000,A59,"")</f>
        <v/>
      </c>
      <c r="N59" s="2" t="str">
        <f aca="false">IF(D59&lt;=Inputs!$B$16,"yes","STALL")</f>
        <v>yes</v>
      </c>
    </row>
    <row r="60" customFormat="false" ht="15" hidden="false" customHeight="false" outlineLevel="0" collapsed="false">
      <c r="A60" s="6" t="n">
        <v>71</v>
      </c>
      <c r="B60" s="7" t="n">
        <f aca="false">A60*Inputs!$B$19</f>
        <v>158.82274</v>
      </c>
      <c r="C60" s="10" t="n">
        <f aca="false">0.5*Inputs!$B$8*A60^2</f>
        <v>3087.6125</v>
      </c>
      <c r="D60" s="11" t="n">
        <f aca="false">Inputs!$B$7/(C60*Inputs!$B$9)</f>
        <v>0.0415515024765875</v>
      </c>
      <c r="E60" s="12" t="n">
        <f aca="false">Inputs!$B$14+Inputs!$B$13*D60^2</f>
        <v>0.0292879055460493</v>
      </c>
      <c r="F60" s="7" t="n">
        <f aca="false">C60*Inputs!$B$9*E60/Inputs!$B$6*1000</f>
        <v>336.922085041323</v>
      </c>
      <c r="G60" s="12" t="n">
        <f aca="false">Inputs!$B$15+Inputs!$B$13*D60^2</f>
        <v>0.0187879055460493</v>
      </c>
      <c r="H60" s="7" t="n">
        <f aca="false">C60*Inputs!$B$9*G60/Inputs!$B$6*1000</f>
        <v>216.132229058907</v>
      </c>
      <c r="I60" s="10" t="n">
        <f aca="false">MAX(0,Inputs!$B$17*(1-A60/Inputs!$B$18))</f>
        <v>0</v>
      </c>
      <c r="J60" s="7" t="n">
        <f aca="false">D60/E60</f>
        <v>1.41872563783218</v>
      </c>
      <c r="K60" s="2" t="n">
        <f aca="false">IF(I60&gt;=F60,A60,0)</f>
        <v>0</v>
      </c>
      <c r="L60" s="2" t="n">
        <f aca="false">IF(I60&gt;=H60,A60,0)</f>
        <v>0</v>
      </c>
      <c r="M60" s="2" t="str">
        <f aca="false">IF(F60&gt;=Inputs!$B$5*1000,A60,"")</f>
        <v/>
      </c>
      <c r="N60" s="2" t="str">
        <f aca="false">IF(D60&lt;=Inputs!$B$16,"yes","STALL")</f>
        <v>yes</v>
      </c>
    </row>
    <row r="61" customFormat="false" ht="15" hidden="false" customHeight="false" outlineLevel="0" collapsed="false">
      <c r="A61" s="6" t="n">
        <v>72</v>
      </c>
      <c r="B61" s="7" t="n">
        <f aca="false">A61*Inputs!$B$19</f>
        <v>161.05968</v>
      </c>
      <c r="C61" s="10" t="n">
        <f aca="false">0.5*Inputs!$B$8*A61^2</f>
        <v>3175.2</v>
      </c>
      <c r="D61" s="11" t="n">
        <f aca="false">Inputs!$B$7/(C61*Inputs!$B$9)</f>
        <v>0.0404053094105859</v>
      </c>
      <c r="E61" s="12" t="n">
        <f aca="false">Inputs!$B$14+Inputs!$B$13*D61^2</f>
        <v>0.0292722409428083</v>
      </c>
      <c r="F61" s="7" t="n">
        <f aca="false">C61*Inputs!$B$9*E61/Inputs!$B$6*1000</f>
        <v>346.294370090791</v>
      </c>
      <c r="G61" s="12" t="n">
        <f aca="false">Inputs!$B$15+Inputs!$B$13*D61^2</f>
        <v>0.0187722409428083</v>
      </c>
      <c r="H61" s="7" t="n">
        <f aca="false">C61*Inputs!$B$9*G61/Inputs!$B$6*1000</f>
        <v>222.078021466938</v>
      </c>
      <c r="I61" s="10" t="n">
        <f aca="false">MAX(0,Inputs!$B$17*(1-A61/Inputs!$B$18))</f>
        <v>0</v>
      </c>
      <c r="J61" s="7" t="n">
        <f aca="false">D61/E61</f>
        <v>1.38032853342282</v>
      </c>
      <c r="K61" s="2" t="n">
        <f aca="false">IF(I61&gt;=F61,A61,0)</f>
        <v>0</v>
      </c>
      <c r="L61" s="2" t="n">
        <f aca="false">IF(I61&gt;=H61,A61,0)</f>
        <v>0</v>
      </c>
      <c r="M61" s="2" t="str">
        <f aca="false">IF(F61&gt;=Inputs!$B$5*1000,A61,"")</f>
        <v/>
      </c>
      <c r="N61" s="2" t="str">
        <f aca="false">IF(D61&lt;=Inputs!$B$16,"yes","STALL")</f>
        <v>yes</v>
      </c>
    </row>
    <row r="62" customFormat="false" ht="15" hidden="false" customHeight="false" outlineLevel="0" collapsed="false">
      <c r="A62" s="6" t="n">
        <v>73</v>
      </c>
      <c r="B62" s="7" t="n">
        <f aca="false">A62*Inputs!$B$19</f>
        <v>163.29662</v>
      </c>
      <c r="C62" s="10" t="n">
        <f aca="false">0.5*Inputs!$B$8*A62^2</f>
        <v>3264.0125</v>
      </c>
      <c r="D62" s="11" t="n">
        <f aca="false">Inputs!$B$7/(C62*Inputs!$B$9)</f>
        <v>0.03930589678823</v>
      </c>
      <c r="E62" s="12" t="n">
        <f aca="false">Inputs!$B$14+Inputs!$B$13*D62^2</f>
        <v>0.029257627361298</v>
      </c>
      <c r="F62" s="7" t="n">
        <f aca="false">C62*Inputs!$B$9*E62/Inputs!$B$6*1000</f>
        <v>355.802742627876</v>
      </c>
      <c r="G62" s="12" t="n">
        <f aca="false">Inputs!$B$15+Inputs!$B$13*D62^2</f>
        <v>0.018757627361298</v>
      </c>
      <c r="H62" s="7" t="n">
        <f aca="false">C62*Inputs!$B$9*G62/Inputs!$B$6*1000</f>
        <v>228.111978388579</v>
      </c>
      <c r="I62" s="10" t="n">
        <f aca="false">MAX(0,Inputs!$B$17*(1-A62/Inputs!$B$18))</f>
        <v>0</v>
      </c>
      <c r="J62" s="7" t="n">
        <f aca="false">D62/E62</f>
        <v>1.34344102147612</v>
      </c>
      <c r="K62" s="2" t="n">
        <f aca="false">IF(I62&gt;=F62,A62,0)</f>
        <v>0</v>
      </c>
      <c r="L62" s="2" t="n">
        <f aca="false">IF(I62&gt;=H62,A62,0)</f>
        <v>0</v>
      </c>
      <c r="M62" s="2" t="str">
        <f aca="false">IF(F62&gt;=Inputs!$B$5*1000,A62,"")</f>
        <v/>
      </c>
      <c r="N62" s="2" t="str">
        <f aca="false">IF(D62&lt;=Inputs!$B$16,"yes","STALL")</f>
        <v>yes</v>
      </c>
    </row>
    <row r="63" customFormat="false" ht="15" hidden="false" customHeight="false" outlineLevel="0" collapsed="false">
      <c r="A63" s="6" t="n">
        <v>74</v>
      </c>
      <c r="B63" s="7" t="n">
        <f aca="false">A63*Inputs!$B$19</f>
        <v>165.53356</v>
      </c>
      <c r="C63" s="10" t="n">
        <f aca="false">0.5*Inputs!$B$8*A63^2</f>
        <v>3354.05</v>
      </c>
      <c r="D63" s="11" t="n">
        <f aca="false">Inputs!$B$7/(C63*Inputs!$B$9)</f>
        <v>0.0382507531016212</v>
      </c>
      <c r="E63" s="12" t="n">
        <f aca="false">Inputs!$B$14+Inputs!$B$13*D63^2</f>
        <v>0.0292439813033117</v>
      </c>
      <c r="F63" s="7" t="n">
        <f aca="false">C63*Inputs!$B$9*E63/Inputs!$B$6*1000</f>
        <v>365.44700246413</v>
      </c>
      <c r="G63" s="12" t="n">
        <f aca="false">Inputs!$B$15+Inputs!$B$13*D63^2</f>
        <v>0.0187439813033117</v>
      </c>
      <c r="H63" s="7" t="n">
        <f aca="false">C63*Inputs!$B$9*G63/Inputs!$B$6*1000</f>
        <v>234.233899635384</v>
      </c>
      <c r="I63" s="10" t="n">
        <f aca="false">MAX(0,Inputs!$B$17*(1-A63/Inputs!$B$18))</f>
        <v>0</v>
      </c>
      <c r="J63" s="7" t="n">
        <f aca="false">D63/E63</f>
        <v>1.30798719589147</v>
      </c>
      <c r="K63" s="2" t="n">
        <f aca="false">IF(I63&gt;=F63,A63,0)</f>
        <v>0</v>
      </c>
      <c r="L63" s="2" t="n">
        <f aca="false">IF(I63&gt;=H63,A63,0)</f>
        <v>0</v>
      </c>
      <c r="M63" s="2" t="str">
        <f aca="false">IF(F63&gt;=Inputs!$B$5*1000,A63,"")</f>
        <v/>
      </c>
      <c r="N63" s="2" t="str">
        <f aca="false">IF(D63&lt;=Inputs!$B$16,"yes","STALL")</f>
        <v>yes</v>
      </c>
    </row>
    <row r="64" customFormat="false" ht="15" hidden="false" customHeight="false" outlineLevel="0" collapsed="false">
      <c r="A64" s="6" t="n">
        <v>75</v>
      </c>
      <c r="B64" s="7" t="n">
        <f aca="false">A64*Inputs!$B$19</f>
        <v>167.7705</v>
      </c>
      <c r="C64" s="10" t="n">
        <f aca="false">0.5*Inputs!$B$8*A64^2</f>
        <v>3445.3125</v>
      </c>
      <c r="D64" s="11" t="n">
        <f aca="false">Inputs!$B$7/(C64*Inputs!$B$9)</f>
        <v>0.037237533152796</v>
      </c>
      <c r="E64" s="12" t="n">
        <f aca="false">Inputs!$B$14+Inputs!$B$13*D64^2</f>
        <v>0.0292312269082654</v>
      </c>
      <c r="F64" s="7" t="n">
        <f aca="false">C64*Inputs!$B$9*E64/Inputs!$B$6*1000</f>
        <v>375.226962667416</v>
      </c>
      <c r="G64" s="12" t="n">
        <f aca="false">Inputs!$B$15+Inputs!$B$13*D64^2</f>
        <v>0.0187312269082654</v>
      </c>
      <c r="H64" s="7" t="n">
        <f aca="false">C64*Inputs!$B$9*G64/Inputs!$B$6*1000</f>
        <v>240.443598275214</v>
      </c>
      <c r="I64" s="10" t="n">
        <f aca="false">MAX(0,Inputs!$B$17*(1-A64/Inputs!$B$18))</f>
        <v>0</v>
      </c>
      <c r="J64" s="7" t="n">
        <f aca="false">D64/E64</f>
        <v>1.27389566198013</v>
      </c>
      <c r="K64" s="2" t="n">
        <f aca="false">IF(I64&gt;=F64,A64,0)</f>
        <v>0</v>
      </c>
      <c r="L64" s="2" t="n">
        <f aca="false">IF(I64&gt;=H64,A64,0)</f>
        <v>0</v>
      </c>
      <c r="M64" s="2" t="str">
        <f aca="false">IF(F64&gt;=Inputs!$B$5*1000,A64,"")</f>
        <v/>
      </c>
      <c r="N64" s="2" t="str">
        <f aca="false">IF(D64&lt;=Inputs!$B$16,"yes","STALL")</f>
        <v>yes</v>
      </c>
    </row>
    <row r="65" customFormat="false" ht="15" hidden="false" customHeight="false" outlineLevel="0" collapsed="false">
      <c r="A65" s="6" t="n">
        <v>76</v>
      </c>
      <c r="B65" s="7" t="n">
        <f aca="false">A65*Inputs!$B$19</f>
        <v>170.00744</v>
      </c>
      <c r="C65" s="10" t="n">
        <f aca="false">0.5*Inputs!$B$8*A65^2</f>
        <v>3537.8</v>
      </c>
      <c r="D65" s="11" t="n">
        <f aca="false">Inputs!$B$7/(C65*Inputs!$B$9)</f>
        <v>0.036264045011163</v>
      </c>
      <c r="E65" s="12" t="n">
        <f aca="false">Inputs!$B$14+Inputs!$B$13*D65^2</f>
        <v>0.0292192951651096</v>
      </c>
      <c r="F65" s="7" t="n">
        <f aca="false">C65*Inputs!$B$9*E65/Inputs!$B$6*1000</f>
        <v>385.142448522304</v>
      </c>
      <c r="G65" s="12" t="n">
        <f aca="false">Inputs!$B$15+Inputs!$B$13*D65^2</f>
        <v>0.0187192951651096</v>
      </c>
      <c r="H65" s="7" t="n">
        <f aca="false">C65*Inputs!$B$9*G65/Inputs!$B$6*1000</f>
        <v>246.740899592641</v>
      </c>
      <c r="I65" s="10" t="n">
        <f aca="false">MAX(0,Inputs!$B$17*(1-A65/Inputs!$B$18))</f>
        <v>0</v>
      </c>
      <c r="J65" s="7" t="n">
        <f aca="false">D65/E65</f>
        <v>1.24109923960334</v>
      </c>
      <c r="K65" s="2" t="n">
        <f aca="false">IF(I65&gt;=F65,A65,0)</f>
        <v>0</v>
      </c>
      <c r="L65" s="2" t="n">
        <f aca="false">IF(I65&gt;=H65,A65,0)</f>
        <v>0</v>
      </c>
      <c r="M65" s="2" t="str">
        <f aca="false">IF(F65&gt;=Inputs!$B$5*1000,A65,"")</f>
        <v/>
      </c>
      <c r="N65" s="2" t="str">
        <f aca="false">IF(D65&lt;=Inputs!$B$16,"yes","STALL")</f>
        <v>yes</v>
      </c>
    </row>
    <row r="66" customFormat="false" ht="15" hidden="false" customHeight="false" outlineLevel="0" collapsed="false">
      <c r="A66" s="6" t="n">
        <v>77</v>
      </c>
      <c r="B66" s="7" t="n">
        <f aca="false">A66*Inputs!$B$19</f>
        <v>172.24438</v>
      </c>
      <c r="C66" s="10" t="n">
        <f aca="false">0.5*Inputs!$B$8*A66^2</f>
        <v>3631.5125</v>
      </c>
      <c r="D66" s="11" t="n">
        <f aca="false">Inputs!$B$7/(C66*Inputs!$B$9)</f>
        <v>0.0353282381488409</v>
      </c>
      <c r="E66" s="12" t="n">
        <f aca="false">Inputs!$B$14+Inputs!$B$13*D66^2</f>
        <v>0.0292081232145559</v>
      </c>
      <c r="F66" s="7" t="n">
        <f aca="false">C66*Inputs!$B$9*E66/Inputs!$B$6*1000</f>
        <v>395.193296584358</v>
      </c>
      <c r="G66" s="12" t="n">
        <f aca="false">Inputs!$B$15+Inputs!$B$13*D66^2</f>
        <v>0.0187081232145559</v>
      </c>
      <c r="H66" s="7" t="n">
        <f aca="false">C66*Inputs!$B$9*G66/Inputs!$B$6*1000</f>
        <v>253.125640143227</v>
      </c>
      <c r="I66" s="10" t="n">
        <f aca="false">MAX(0,Inputs!$B$17*(1-A66/Inputs!$B$18))</f>
        <v>0</v>
      </c>
      <c r="J66" s="7" t="n">
        <f aca="false">D66/E66</f>
        <v>1.20953468626957</v>
      </c>
      <c r="K66" s="2" t="n">
        <f aca="false">IF(I66&gt;=F66,A66,0)</f>
        <v>0</v>
      </c>
      <c r="L66" s="2" t="n">
        <f aca="false">IF(I66&gt;=H66,A66,0)</f>
        <v>0</v>
      </c>
      <c r="M66" s="2" t="str">
        <f aca="false">IF(F66&gt;=Inputs!$B$5*1000,A66,"")</f>
        <v/>
      </c>
      <c r="N66" s="2" t="str">
        <f aca="false">IF(D66&lt;=Inputs!$B$16,"yes","STALL")</f>
        <v>yes</v>
      </c>
    </row>
    <row r="67" customFormat="false" ht="15" hidden="false" customHeight="false" outlineLevel="0" collapsed="false">
      <c r="A67" s="6" t="n">
        <v>78</v>
      </c>
      <c r="B67" s="7" t="n">
        <f aca="false">A67*Inputs!$B$19</f>
        <v>174.48132</v>
      </c>
      <c r="C67" s="10" t="n">
        <f aca="false">0.5*Inputs!$B$8*A67^2</f>
        <v>3726.45</v>
      </c>
      <c r="D67" s="11" t="n">
        <f aca="false">Inputs!$B$7/(C67*Inputs!$B$9)</f>
        <v>0.034428192633872</v>
      </c>
      <c r="E67" s="12" t="n">
        <f aca="false">Inputs!$B$14+Inputs!$B$13*D67^2</f>
        <v>0.0291976537302641</v>
      </c>
      <c r="F67" s="7" t="n">
        <f aca="false">C67*Inputs!$B$9*E67/Inputs!$B$6*1000</f>
        <v>405.379353818743</v>
      </c>
      <c r="G67" s="12" t="n">
        <f aca="false">Inputs!$B$15+Inputs!$B$13*D67^2</f>
        <v>0.0186976537302641</v>
      </c>
      <c r="H67" s="7" t="n">
        <f aca="false">C67*Inputs!$B$9*G67/Inputs!$B$6*1000</f>
        <v>259.597666892137</v>
      </c>
      <c r="I67" s="10" t="n">
        <f aca="false">MAX(0,Inputs!$B$17*(1-A67/Inputs!$B$18))</f>
        <v>0</v>
      </c>
      <c r="J67" s="7" t="n">
        <f aca="false">D67/E67</f>
        <v>1.17914243904422</v>
      </c>
      <c r="K67" s="2" t="n">
        <f aca="false">IF(I67&gt;=F67,A67,0)</f>
        <v>0</v>
      </c>
      <c r="L67" s="2" t="n">
        <f aca="false">IF(I67&gt;=H67,A67,0)</f>
        <v>0</v>
      </c>
      <c r="M67" s="2" t="str">
        <f aca="false">IF(F67&gt;=Inputs!$B$5*1000,A67,"")</f>
        <v/>
      </c>
      <c r="N67" s="2" t="str">
        <f aca="false">IF(D67&lt;=Inputs!$B$16,"yes","STALL")</f>
        <v>yes</v>
      </c>
    </row>
    <row r="68" customFormat="false" ht="15" hidden="false" customHeight="false" outlineLevel="0" collapsed="false">
      <c r="A68" s="6" t="n">
        <v>79</v>
      </c>
      <c r="B68" s="7" t="n">
        <f aca="false">A68*Inputs!$B$19</f>
        <v>176.71826</v>
      </c>
      <c r="C68" s="10" t="n">
        <f aca="false">0.5*Inputs!$B$8*A68^2</f>
        <v>3822.6125</v>
      </c>
      <c r="D68" s="11" t="n">
        <f aca="false">Inputs!$B$7/(C68*Inputs!$B$9)</f>
        <v>0.0335621092748722</v>
      </c>
      <c r="E68" s="12" t="n">
        <f aca="false">Inputs!$B$14+Inputs!$B$13*D68^2</f>
        <v>0.0291878343691849</v>
      </c>
      <c r="F68" s="7" t="n">
        <f aca="false">C68*Inputs!$B$9*E68/Inputs!$B$6*1000</f>
        <v>415.700476814668</v>
      </c>
      <c r="G68" s="12" t="n">
        <f aca="false">Inputs!$B$15+Inputs!$B$13*D68^2</f>
        <v>0.0186878343691849</v>
      </c>
      <c r="H68" s="7" t="n">
        <f aca="false">C68*Inputs!$B$9*G68/Inputs!$B$6*1000</f>
        <v>266.156836428582</v>
      </c>
      <c r="I68" s="10" t="n">
        <f aca="false">MAX(0,Inputs!$B$17*(1-A68/Inputs!$B$18))</f>
        <v>0</v>
      </c>
      <c r="J68" s="7" t="n">
        <f aca="false">D68/E68</f>
        <v>1.14986637413242</v>
      </c>
      <c r="K68" s="2" t="n">
        <f aca="false">IF(I68&gt;=F68,A68,0)</f>
        <v>0</v>
      </c>
      <c r="L68" s="2" t="n">
        <f aca="false">IF(I68&gt;=H68,A68,0)</f>
        <v>0</v>
      </c>
      <c r="M68" s="2" t="str">
        <f aca="false">IF(F68&gt;=Inputs!$B$5*1000,A68,"")</f>
        <v/>
      </c>
      <c r="N68" s="2" t="str">
        <f aca="false">IF(D68&lt;=Inputs!$B$16,"yes","STALL")</f>
        <v>yes</v>
      </c>
    </row>
    <row r="69" customFormat="false" ht="15" hidden="false" customHeight="false" outlineLevel="0" collapsed="false">
      <c r="A69" s="6" t="n">
        <v>80</v>
      </c>
      <c r="B69" s="7" t="n">
        <f aca="false">A69*Inputs!$B$19</f>
        <v>178.9552</v>
      </c>
      <c r="C69" s="10" t="n">
        <f aca="false">0.5*Inputs!$B$8*A69^2</f>
        <v>3920</v>
      </c>
      <c r="D69" s="11" t="n">
        <f aca="false">Inputs!$B$7/(C69*Inputs!$B$9)</f>
        <v>0.0327283006225746</v>
      </c>
      <c r="E69" s="12" t="n">
        <f aca="false">Inputs!$B$14+Inputs!$B$13*D69^2</f>
        <v>0.0291786172825765</v>
      </c>
      <c r="F69" s="7" t="n">
        <f aca="false">C69*Inputs!$B$9*E69/Inputs!$B$6*1000</f>
        <v>426.156531068138</v>
      </c>
      <c r="G69" s="12" t="n">
        <f aca="false">Inputs!$B$15+Inputs!$B$13*D69^2</f>
        <v>0.0186786172825765</v>
      </c>
      <c r="H69" s="7" t="n">
        <f aca="false">C69*Inputs!$B$9*G69/Inputs!$B$6*1000</f>
        <v>272.803014248566</v>
      </c>
      <c r="I69" s="10" t="n">
        <f aca="false">MAX(0,Inputs!$B$17*(1-A69/Inputs!$B$18))</f>
        <v>0</v>
      </c>
      <c r="J69" s="7" t="n">
        <f aca="false">D69/E69</f>
        <v>1.12165358302011</v>
      </c>
      <c r="K69" s="2" t="n">
        <f aca="false">IF(I69&gt;=F69,A69,0)</f>
        <v>0</v>
      </c>
      <c r="L69" s="2" t="n">
        <f aca="false">IF(I69&gt;=H69,A69,0)</f>
        <v>0</v>
      </c>
      <c r="M69" s="2" t="str">
        <f aca="false">IF(F69&gt;=Inputs!$B$5*1000,A69,"")</f>
        <v/>
      </c>
      <c r="N69" s="2" t="str">
        <f aca="false">IF(D69&lt;=Inputs!$B$16,"yes","STALL")</f>
        <v>yes</v>
      </c>
    </row>
    <row r="70" customFormat="false" ht="15" hidden="false" customHeight="false" outlineLevel="0" collapsed="false">
      <c r="A70" s="6" t="n">
        <v>81</v>
      </c>
      <c r="B70" s="7" t="n">
        <f aca="false">A70*Inputs!$B$19</f>
        <v>181.19214</v>
      </c>
      <c r="C70" s="10" t="n">
        <f aca="false">0.5*Inputs!$B$8*A70^2</f>
        <v>4018.6125</v>
      </c>
      <c r="D70" s="11" t="n">
        <f aca="false">Inputs!$B$7/(C70*Inputs!$B$9)</f>
        <v>0.0319251827441667</v>
      </c>
      <c r="E70" s="12" t="n">
        <f aca="false">Inputs!$B$14+Inputs!$B$13*D70^2</f>
        <v>0.0291699586803449</v>
      </c>
      <c r="F70" s="7" t="n">
        <f aca="false">C70*Inputs!$B$9*E70/Inputs!$B$6*1000</f>
        <v>436.747390326295</v>
      </c>
      <c r="G70" s="12" t="n">
        <f aca="false">Inputs!$B$15+Inputs!$B$13*D70^2</f>
        <v>0.0186699586803449</v>
      </c>
      <c r="H70" s="7" t="n">
        <f aca="false">C70*Inputs!$B$9*G70/Inputs!$B$6*1000</f>
        <v>279.536074099231</v>
      </c>
      <c r="I70" s="10" t="n">
        <f aca="false">MAX(0,Inputs!$B$17*(1-A70/Inputs!$B$18))</f>
        <v>0</v>
      </c>
      <c r="J70" s="7" t="n">
        <f aca="false">D70/E70</f>
        <v>1.09445416409446</v>
      </c>
      <c r="K70" s="2" t="n">
        <f aca="false">IF(I70&gt;=F70,A70,0)</f>
        <v>0</v>
      </c>
      <c r="L70" s="2" t="n">
        <f aca="false">IF(I70&gt;=H70,A70,0)</f>
        <v>0</v>
      </c>
      <c r="M70" s="2" t="str">
        <f aca="false">IF(F70&gt;=Inputs!$B$5*1000,A70,"")</f>
        <v/>
      </c>
      <c r="N70" s="2" t="str">
        <f aca="false">IF(D70&lt;=Inputs!$B$16,"yes","STALL")</f>
        <v>yes</v>
      </c>
    </row>
    <row r="71" customFormat="false" ht="15" hidden="false" customHeight="false" outlineLevel="0" collapsed="false">
      <c r="A71" s="6" t="n">
        <v>82</v>
      </c>
      <c r="B71" s="7" t="n">
        <f aca="false">A71*Inputs!$B$19</f>
        <v>183.42908</v>
      </c>
      <c r="C71" s="10" t="n">
        <f aca="false">0.5*Inputs!$B$8*A71^2</f>
        <v>4118.45</v>
      </c>
      <c r="D71" s="11" t="n">
        <f aca="false">Inputs!$B$7/(C71*Inputs!$B$9)</f>
        <v>0.0311512676954904</v>
      </c>
      <c r="E71" s="12" t="n">
        <f aca="false">Inputs!$B$14+Inputs!$B$13*D71^2</f>
        <v>0.0291618184423226</v>
      </c>
      <c r="F71" s="7" t="n">
        <f aca="false">C71*Inputs!$B$9*E71/Inputs!$B$6*1000</f>
        <v>447.472935987389</v>
      </c>
      <c r="G71" s="12" t="n">
        <f aca="false">Inputs!$B$15+Inputs!$B$13*D71^2</f>
        <v>0.0186618184423226</v>
      </c>
      <c r="H71" s="7" t="n">
        <f aca="false">C71*Inputs!$B$9*G71/Inputs!$B$6*1000</f>
        <v>286.355897378826</v>
      </c>
      <c r="I71" s="10" t="n">
        <f aca="false">MAX(0,Inputs!$B$17*(1-A71/Inputs!$B$18))</f>
        <v>0</v>
      </c>
      <c r="J71" s="7" t="n">
        <f aca="false">D71/E71</f>
        <v>1.06822102870926</v>
      </c>
      <c r="K71" s="2" t="n">
        <f aca="false">IF(I71&gt;=F71,A71,0)</f>
        <v>0</v>
      </c>
      <c r="L71" s="2" t="n">
        <f aca="false">IF(I71&gt;=H71,A71,0)</f>
        <v>0</v>
      </c>
      <c r="M71" s="2" t="str">
        <f aca="false">IF(F71&gt;=Inputs!$B$5*1000,A71,"")</f>
        <v/>
      </c>
      <c r="N71" s="2" t="str">
        <f aca="false">IF(D71&lt;=Inputs!$B$16,"yes","STALL")</f>
        <v>yes</v>
      </c>
    </row>
    <row r="72" customFormat="false" ht="15" hidden="false" customHeight="false" outlineLevel="0" collapsed="false">
      <c r="A72" s="6" t="n">
        <v>83</v>
      </c>
      <c r="B72" s="7" t="n">
        <f aca="false">A72*Inputs!$B$19</f>
        <v>185.66602</v>
      </c>
      <c r="C72" s="10" t="n">
        <f aca="false">0.5*Inputs!$B$8*A72^2</f>
        <v>4219.5125</v>
      </c>
      <c r="D72" s="11" t="n">
        <f aca="false">Inputs!$B$7/(C72*Inputs!$B$9)</f>
        <v>0.0304051566242528</v>
      </c>
      <c r="E72" s="12" t="n">
        <f aca="false">Inputs!$B$14+Inputs!$B$13*D72^2</f>
        <v>0.0291541597709353</v>
      </c>
      <c r="F72" s="7" t="n">
        <f aca="false">C72*Inputs!$B$9*E72/Inputs!$B$6*1000</f>
        <v>458.333056551046</v>
      </c>
      <c r="G72" s="12" t="n">
        <f aca="false">Inputs!$B$15+Inputs!$B$13*D72^2</f>
        <v>0.0186541597709353</v>
      </c>
      <c r="H72" s="7" t="n">
        <f aca="false">C72*Inputs!$B$9*G72/Inputs!$B$6*1000</f>
        <v>293.262372586979</v>
      </c>
      <c r="I72" s="10" t="n">
        <f aca="false">MAX(0,Inputs!$B$17*(1-A72/Inputs!$B$18))</f>
        <v>0</v>
      </c>
      <c r="J72" s="7" t="n">
        <f aca="false">D72/E72</f>
        <v>1.04290972071041</v>
      </c>
      <c r="K72" s="2" t="n">
        <f aca="false">IF(I72&gt;=F72,A72,0)</f>
        <v>0</v>
      </c>
      <c r="L72" s="2" t="n">
        <f aca="false">IF(I72&gt;=H72,A72,0)</f>
        <v>0</v>
      </c>
      <c r="M72" s="2" t="str">
        <f aca="false">IF(F72&gt;=Inputs!$B$5*1000,A72,"")</f>
        <v/>
      </c>
      <c r="N72" s="2" t="str">
        <f aca="false">IF(D72&lt;=Inputs!$B$16,"yes","STALL")</f>
        <v>yes</v>
      </c>
    </row>
    <row r="73" customFormat="false" ht="15" hidden="false" customHeight="false" outlineLevel="0" collapsed="false">
      <c r="A73" s="6" t="n">
        <v>84</v>
      </c>
      <c r="B73" s="7" t="n">
        <f aca="false">A73*Inputs!$B$19</f>
        <v>187.90296</v>
      </c>
      <c r="C73" s="10" t="n">
        <f aca="false">0.5*Inputs!$B$8*A73^2</f>
        <v>4321.8</v>
      </c>
      <c r="D73" s="11" t="n">
        <f aca="false">Inputs!$B$7/(C73*Inputs!$B$9)</f>
        <v>0.0296855334445121</v>
      </c>
      <c r="E73" s="12" t="n">
        <f aca="false">Inputs!$B$14+Inputs!$B$13*D73^2</f>
        <v>0.0291469488804163</v>
      </c>
      <c r="F73" s="7" t="n">
        <f aca="false">C73*Inputs!$B$9*E73/Inputs!$B$6*1000</f>
        <v>469.327647114073</v>
      </c>
      <c r="G73" s="12" t="n">
        <f aca="false">Inputs!$B$15+Inputs!$B$13*D73^2</f>
        <v>0.0186469488804163</v>
      </c>
      <c r="H73" s="7" t="n">
        <f aca="false">C73*Inputs!$B$9*G73/Inputs!$B$6*1000</f>
        <v>300.255394820495</v>
      </c>
      <c r="I73" s="10" t="n">
        <f aca="false">MAX(0,Inputs!$B$17*(1-A73/Inputs!$B$18))</f>
        <v>0</v>
      </c>
      <c r="J73" s="7" t="n">
        <f aca="false">D73/E73</f>
        <v>1.01847824848856</v>
      </c>
      <c r="K73" s="2" t="n">
        <f aca="false">IF(I73&gt;=F73,A73,0)</f>
        <v>0</v>
      </c>
      <c r="L73" s="2" t="n">
        <f aca="false">IF(I73&gt;=H73,A73,0)</f>
        <v>0</v>
      </c>
      <c r="M73" s="2" t="str">
        <f aca="false">IF(F73&gt;=Inputs!$B$5*1000,A73,"")</f>
        <v/>
      </c>
      <c r="N73" s="2" t="str">
        <f aca="false">IF(D73&lt;=Inputs!$B$16,"yes","STALL")</f>
        <v>yes</v>
      </c>
    </row>
    <row r="74" customFormat="false" ht="15" hidden="false" customHeight="false" outlineLevel="0" collapsed="false">
      <c r="A74" s="6" t="n">
        <v>85</v>
      </c>
      <c r="B74" s="7" t="n">
        <f aca="false">A74*Inputs!$B$19</f>
        <v>190.1399</v>
      </c>
      <c r="C74" s="10" t="n">
        <f aca="false">0.5*Inputs!$B$8*A74^2</f>
        <v>4425.3125</v>
      </c>
      <c r="D74" s="11" t="n">
        <f aca="false">Inputs!$B$7/(C74*Inputs!$B$9)</f>
        <v>0.0289911590289934</v>
      </c>
      <c r="E74" s="12" t="n">
        <f aca="false">Inputs!$B$14+Inputs!$B$13*D74^2</f>
        <v>0.0291401547183455</v>
      </c>
      <c r="F74" s="7" t="n">
        <f aca="false">C74*Inputs!$B$9*E74/Inputs!$B$6*1000</f>
        <v>480.456608907532</v>
      </c>
      <c r="G74" s="12" t="n">
        <f aca="false">Inputs!$B$15+Inputs!$B$13*D74^2</f>
        <v>0.0186401547183455</v>
      </c>
      <c r="H74" s="7" t="n">
        <f aca="false">C74*Inputs!$B$9*G74/Inputs!$B$6*1000</f>
        <v>307.334865310437</v>
      </c>
      <c r="I74" s="10" t="n">
        <f aca="false">MAX(0,Inputs!$B$17*(1-A74/Inputs!$B$18))</f>
        <v>0</v>
      </c>
      <c r="J74" s="7" t="n">
        <f aca="false">D74/E74</f>
        <v>0.994886928679954</v>
      </c>
      <c r="K74" s="2" t="n">
        <f aca="false">IF(I74&gt;=F74,A74,0)</f>
        <v>0</v>
      </c>
      <c r="L74" s="2" t="n">
        <f aca="false">IF(I74&gt;=H74,A74,0)</f>
        <v>0</v>
      </c>
      <c r="M74" s="2" t="n">
        <f aca="false">IF(F74&gt;=Inputs!$B$5*1000,A74,"")</f>
        <v>85</v>
      </c>
      <c r="N74" s="2" t="str">
        <f aca="false">IF(D74&lt;=Inputs!$B$16,"yes","STALL")</f>
        <v>yes</v>
      </c>
    </row>
    <row r="75" customFormat="false" ht="15" hidden="false" customHeight="false" outlineLevel="0" collapsed="false">
      <c r="A75" s="6" t="n">
        <v>86</v>
      </c>
      <c r="B75" s="7" t="n">
        <f aca="false">A75*Inputs!$B$19</f>
        <v>192.37684</v>
      </c>
      <c r="C75" s="10" t="n">
        <f aca="false">0.5*Inputs!$B$8*A75^2</f>
        <v>4530.05</v>
      </c>
      <c r="D75" s="11" t="n">
        <f aca="false">Inputs!$B$7/(C75*Inputs!$B$9)</f>
        <v>0.0283208658713463</v>
      </c>
      <c r="E75" s="12" t="n">
        <f aca="false">Inputs!$B$14+Inputs!$B$13*D75^2</f>
        <v>0.0291337487158205</v>
      </c>
      <c r="F75" s="7" t="n">
        <f aca="false">C75*Inputs!$B$9*E75/Inputs!$B$6*1000</f>
        <v>491.71984887128</v>
      </c>
      <c r="G75" s="12" t="n">
        <f aca="false">Inputs!$B$15+Inputs!$B$13*D75^2</f>
        <v>0.0186337487158205</v>
      </c>
      <c r="H75" s="7" t="n">
        <f aca="false">C75*Inputs!$B$9*G75/Inputs!$B$6*1000</f>
        <v>314.500690996662</v>
      </c>
      <c r="I75" s="10" t="n">
        <f aca="false">MAX(0,Inputs!$B$17*(1-A75/Inputs!$B$18))</f>
        <v>0</v>
      </c>
      <c r="J75" s="7" t="n">
        <f aca="false">D75/E75</f>
        <v>0.972098240689748</v>
      </c>
      <c r="K75" s="2" t="n">
        <f aca="false">IF(I75&gt;=F75,A75,0)</f>
        <v>0</v>
      </c>
      <c r="L75" s="2" t="n">
        <f aca="false">IF(I75&gt;=H75,A75,0)</f>
        <v>0</v>
      </c>
      <c r="M75" s="2" t="n">
        <f aca="false">IF(F75&gt;=Inputs!$B$5*1000,A75,"")</f>
        <v>86</v>
      </c>
      <c r="N75" s="2" t="str">
        <f aca="false">IF(D75&lt;=Inputs!$B$16,"yes","STALL")</f>
        <v>yes</v>
      </c>
    </row>
    <row r="76" customFormat="false" ht="15" hidden="false" customHeight="false" outlineLevel="0" collapsed="false">
      <c r="A76" s="6" t="n">
        <v>87</v>
      </c>
      <c r="B76" s="7" t="n">
        <f aca="false">A76*Inputs!$B$19</f>
        <v>194.61378</v>
      </c>
      <c r="C76" s="10" t="n">
        <f aca="false">0.5*Inputs!$B$8*A76^2</f>
        <v>4636.0125</v>
      </c>
      <c r="D76" s="11" t="n">
        <f aca="false">Inputs!$B$7/(C76*Inputs!$B$9)</f>
        <v>0.0276735531753835</v>
      </c>
      <c r="E76" s="12" t="n">
        <f aca="false">Inputs!$B$14+Inputs!$B$13*D76^2</f>
        <v>0.0291277045630254</v>
      </c>
      <c r="F76" s="7" t="n">
        <f aca="false">C76*Inputs!$B$9*E76/Inputs!$B$6*1000</f>
        <v>503.117279262539</v>
      </c>
      <c r="G76" s="12" t="n">
        <f aca="false">Inputs!$B$15+Inputs!$B$13*D76^2</f>
        <v>0.0186277045630254</v>
      </c>
      <c r="H76" s="7" t="n">
        <f aca="false">C76*Inputs!$B$9*G76/Inputs!$B$6*1000</f>
        <v>321.752784136393</v>
      </c>
      <c r="I76" s="10" t="n">
        <f aca="false">MAX(0,Inputs!$B$17*(1-A76/Inputs!$B$18))</f>
        <v>0</v>
      </c>
      <c r="J76" s="7" t="n">
        <f aca="false">D76/E76</f>
        <v>0.950076691264995</v>
      </c>
      <c r="K76" s="2" t="n">
        <f aca="false">IF(I76&gt;=F76,A76,0)</f>
        <v>0</v>
      </c>
      <c r="L76" s="2" t="n">
        <f aca="false">IF(I76&gt;=H76,A76,0)</f>
        <v>0</v>
      </c>
      <c r="M76" s="2" t="n">
        <f aca="false">IF(F76&gt;=Inputs!$B$5*1000,A76,"")</f>
        <v>87</v>
      </c>
      <c r="N76" s="2" t="str">
        <f aca="false">IF(D76&lt;=Inputs!$B$16,"yes","STALL")</f>
        <v>yes</v>
      </c>
    </row>
    <row r="77" customFormat="false" ht="15" hidden="false" customHeight="false" outlineLevel="0" collapsed="false">
      <c r="A77" s="6" t="n">
        <v>88</v>
      </c>
      <c r="B77" s="7" t="n">
        <f aca="false">A77*Inputs!$B$19</f>
        <v>196.85072</v>
      </c>
      <c r="C77" s="10" t="n">
        <f aca="false">0.5*Inputs!$B$8*A77^2</f>
        <v>4743.2</v>
      </c>
      <c r="D77" s="11" t="n">
        <f aca="false">Inputs!$B$7/(C77*Inputs!$B$9)</f>
        <v>0.0270481823327063</v>
      </c>
      <c r="E77" s="12" t="n">
        <f aca="false">Inputs!$B$14+Inputs!$B$13*D77^2</f>
        <v>0.0291219980073605</v>
      </c>
      <c r="F77" s="7" t="n">
        <f aca="false">C77*Inputs!$B$9*E77/Inputs!$B$6*1000</f>
        <v>514.648817295426</v>
      </c>
      <c r="G77" s="12" t="n">
        <f aca="false">Inputs!$B$15+Inputs!$B$13*D77^2</f>
        <v>0.0186219980073605</v>
      </c>
      <c r="H77" s="7" t="n">
        <f aca="false">C77*Inputs!$B$9*G77/Inputs!$B$6*1000</f>
        <v>329.091061943744</v>
      </c>
      <c r="I77" s="10" t="n">
        <f aca="false">MAX(0,Inputs!$B$17*(1-A77/Inputs!$B$18))</f>
        <v>0</v>
      </c>
      <c r="J77" s="7" t="n">
        <f aca="false">D77/E77</f>
        <v>0.928788688395279</v>
      </c>
      <c r="K77" s="2" t="n">
        <f aca="false">IF(I77&gt;=F77,A77,0)</f>
        <v>0</v>
      </c>
      <c r="L77" s="2" t="n">
        <f aca="false">IF(I77&gt;=H77,A77,0)</f>
        <v>0</v>
      </c>
      <c r="M77" s="2" t="n">
        <f aca="false">IF(F77&gt;=Inputs!$B$5*1000,A77,"")</f>
        <v>88</v>
      </c>
      <c r="N77" s="2" t="str">
        <f aca="false">IF(D77&lt;=Inputs!$B$16,"yes","STALL")</f>
        <v>yes</v>
      </c>
    </row>
    <row r="78" customFormat="false" ht="15" hidden="false" customHeight="false" outlineLevel="0" collapsed="false">
      <c r="A78" s="6" t="n">
        <v>89</v>
      </c>
      <c r="B78" s="7" t="n">
        <f aca="false">A78*Inputs!$B$19</f>
        <v>199.08766</v>
      </c>
      <c r="C78" s="10" t="n">
        <f aca="false">0.5*Inputs!$B$8*A78^2</f>
        <v>4851.6125</v>
      </c>
      <c r="D78" s="11" t="n">
        <f aca="false">Inputs!$B$7/(C78*Inputs!$B$9)</f>
        <v>0.0264437727540055</v>
      </c>
      <c r="E78" s="12" t="n">
        <f aca="false">Inputs!$B$14+Inputs!$B$13*D78^2</f>
        <v>0.0291166066716414</v>
      </c>
      <c r="F78" s="7" t="n">
        <f aca="false">C78*Inputs!$B$9*E78/Inputs!$B$6*1000</f>
        <v>526.314384808668</v>
      </c>
      <c r="G78" s="12" t="n">
        <f aca="false">Inputs!$B$15+Inputs!$B$13*D78^2</f>
        <v>0.0186166066716414</v>
      </c>
      <c r="H78" s="7" t="n">
        <f aca="false">C78*Inputs!$B$9*G78/Inputs!$B$6*1000</f>
        <v>336.515446257444</v>
      </c>
      <c r="I78" s="10" t="n">
        <f aca="false">MAX(0,Inputs!$B$17*(1-A78/Inputs!$B$18))</f>
        <v>0</v>
      </c>
      <c r="J78" s="7" t="n">
        <f aca="false">D78/E78</f>
        <v>0.908202423868329</v>
      </c>
      <c r="K78" s="2" t="n">
        <f aca="false">IF(I78&gt;=F78,A78,0)</f>
        <v>0</v>
      </c>
      <c r="L78" s="2" t="n">
        <f aca="false">IF(I78&gt;=H78,A78,0)</f>
        <v>0</v>
      </c>
      <c r="M78" s="2" t="n">
        <f aca="false">IF(F78&gt;=Inputs!$B$5*1000,A78,"")</f>
        <v>89</v>
      </c>
      <c r="N78" s="2" t="str">
        <f aca="false">IF(D78&lt;=Inputs!$B$16,"yes","STALL")</f>
        <v>yes</v>
      </c>
    </row>
    <row r="79" customFormat="false" ht="15" hidden="false" customHeight="false" outlineLevel="0" collapsed="false">
      <c r="A79" s="6" t="n">
        <v>90</v>
      </c>
      <c r="B79" s="7" t="n">
        <f aca="false">A79*Inputs!$B$19</f>
        <v>201.3246</v>
      </c>
      <c r="C79" s="10" t="n">
        <f aca="false">0.5*Inputs!$B$8*A79^2</f>
        <v>4961.25</v>
      </c>
      <c r="D79" s="11" t="n">
        <f aca="false">Inputs!$B$7/(C79*Inputs!$B$9)</f>
        <v>0.025859398022775</v>
      </c>
      <c r="E79" s="12" t="n">
        <f aca="false">Inputs!$B$14+Inputs!$B$13*D79^2</f>
        <v>0.0291115098901743</v>
      </c>
      <c r="F79" s="7" t="n">
        <f aca="false">C79*Inputs!$B$9*E79/Inputs!$B$6*1000</f>
        <v>538.113907959024</v>
      </c>
      <c r="G79" s="12" t="n">
        <f aca="false">Inputs!$B$15+Inputs!$B$13*D79^2</f>
        <v>0.0186115098901743</v>
      </c>
      <c r="H79" s="7" t="n">
        <f aca="false">C79*Inputs!$B$9*G79/Inputs!$B$6*1000</f>
        <v>344.025863234253</v>
      </c>
      <c r="I79" s="10" t="n">
        <f aca="false">MAX(0,Inputs!$B$17*(1-A79/Inputs!$B$18))</f>
        <v>0</v>
      </c>
      <c r="J79" s="7" t="n">
        <f aca="false">D79/E79</f>
        <v>0.888287763854635</v>
      </c>
      <c r="K79" s="2" t="n">
        <f aca="false">IF(I79&gt;=F79,A79,0)</f>
        <v>0</v>
      </c>
      <c r="L79" s="2" t="n">
        <f aca="false">IF(I79&gt;=H79,A79,0)</f>
        <v>0</v>
      </c>
      <c r="M79" s="2" t="n">
        <f aca="false">IF(F79&gt;=Inputs!$B$5*1000,A79,"")</f>
        <v>90</v>
      </c>
      <c r="N79" s="2" t="str">
        <f aca="false">IF(D79&lt;=Inputs!$B$16,"yes","STALL")</f>
        <v>yes</v>
      </c>
    </row>
    <row r="80" customFormat="false" ht="15" hidden="false" customHeight="false" outlineLevel="0" collapsed="false">
      <c r="A80" s="6" t="n">
        <v>91</v>
      </c>
      <c r="B80" s="7" t="n">
        <f aca="false">A80*Inputs!$B$19</f>
        <v>203.56154</v>
      </c>
      <c r="C80" s="10" t="n">
        <f aca="false">0.5*Inputs!$B$8*A80^2</f>
        <v>5072.1125</v>
      </c>
      <c r="D80" s="11" t="n">
        <f aca="false">Inputs!$B$7/(C80*Inputs!$B$9)</f>
        <v>0.0252941823432529</v>
      </c>
      <c r="E80" s="12" t="n">
        <f aca="false">Inputs!$B$14+Inputs!$B$13*D80^2</f>
        <v>0.0291066885607756</v>
      </c>
      <c r="F80" s="7" t="n">
        <f aca="false">C80*Inputs!$B$9*E80/Inputs!$B$6*1000</f>
        <v>550.047316938156</v>
      </c>
      <c r="G80" s="12" t="n">
        <f aca="false">Inputs!$B$15+Inputs!$B$13*D80^2</f>
        <v>0.0186066885607756</v>
      </c>
      <c r="H80" s="7" t="n">
        <f aca="false">C80*Inputs!$B$9*G80/Inputs!$B$6*1000</f>
        <v>351.622243065832</v>
      </c>
      <c r="I80" s="10" t="n">
        <f aca="false">MAX(0,Inputs!$B$17*(1-A80/Inputs!$B$18))</f>
        <v>0</v>
      </c>
      <c r="J80" s="7" t="n">
        <f aca="false">D80/E80</f>
        <v>0.869016146939489</v>
      </c>
      <c r="K80" s="2" t="n">
        <f aca="false">IF(I80&gt;=F80,A80,0)</f>
        <v>0</v>
      </c>
      <c r="L80" s="2" t="n">
        <f aca="false">IF(I80&gt;=H80,A80,0)</f>
        <v>0</v>
      </c>
      <c r="M80" s="2" t="n">
        <f aca="false">IF(F80&gt;=Inputs!$B$5*1000,A80,"")</f>
        <v>91</v>
      </c>
      <c r="N80" s="2" t="str">
        <f aca="false">IF(D80&lt;=Inputs!$B$16,"yes","STALL")</f>
        <v>yes</v>
      </c>
    </row>
    <row r="81" customFormat="false" ht="15" hidden="false" customHeight="false" outlineLevel="0" collapsed="false">
      <c r="A81" s="6" t="n">
        <v>92</v>
      </c>
      <c r="B81" s="7" t="n">
        <f aca="false">A81*Inputs!$B$19</f>
        <v>205.79848</v>
      </c>
      <c r="C81" s="10" t="n">
        <f aca="false">0.5*Inputs!$B$8*A81^2</f>
        <v>5184.2</v>
      </c>
      <c r="D81" s="11" t="n">
        <f aca="false">Inputs!$B$7/(C81*Inputs!$B$9)</f>
        <v>0.0247472972571453</v>
      </c>
      <c r="E81" s="12" t="n">
        <f aca="false">Inputs!$B$14+Inputs!$B$13*D81^2</f>
        <v>0.0291021250110321</v>
      </c>
      <c r="F81" s="7" t="n">
        <f aca="false">C81*Inputs!$B$9*E81/Inputs!$B$6*1000</f>
        <v>562.114545710922</v>
      </c>
      <c r="G81" s="12" t="n">
        <f aca="false">Inputs!$B$15+Inputs!$B$13*D81^2</f>
        <v>0.0186021250110321</v>
      </c>
      <c r="H81" s="7" t="n">
        <f aca="false">C81*Inputs!$B$9*G81/Inputs!$B$6*1000</f>
        <v>359.304519717039</v>
      </c>
      <c r="I81" s="10" t="n">
        <f aca="false">MAX(0,Inputs!$B$17*(1-A81/Inputs!$B$18))</f>
        <v>0</v>
      </c>
      <c r="J81" s="7" t="n">
        <f aca="false">D81/E81</f>
        <v>0.850360489062705</v>
      </c>
      <c r="K81" s="2" t="n">
        <f aca="false">IF(I81&gt;=F81,A81,0)</f>
        <v>0</v>
      </c>
      <c r="L81" s="2" t="n">
        <f aca="false">IF(I81&gt;=H81,A81,0)</f>
        <v>0</v>
      </c>
      <c r="M81" s="2" t="n">
        <f aca="false">IF(F81&gt;=Inputs!$B$5*1000,A81,"")</f>
        <v>92</v>
      </c>
      <c r="N81" s="2" t="str">
        <f aca="false">IF(D81&lt;=Inputs!$B$16,"yes","STALL")</f>
        <v>yes</v>
      </c>
    </row>
    <row r="82" customFormat="false" ht="15" hidden="false" customHeight="false" outlineLevel="0" collapsed="false">
      <c r="A82" s="6" t="n">
        <v>93</v>
      </c>
      <c r="B82" s="7" t="n">
        <f aca="false">A82*Inputs!$B$19</f>
        <v>208.03542</v>
      </c>
      <c r="C82" s="10" t="n">
        <f aca="false">0.5*Inputs!$B$8*A82^2</f>
        <v>5297.5125</v>
      </c>
      <c r="D82" s="11" t="n">
        <f aca="false">Inputs!$B$7/(C82*Inputs!$B$9)</f>
        <v>0.0242179586061368</v>
      </c>
      <c r="E82" s="12" t="n">
        <f aca="false">Inputs!$B$14+Inputs!$B$13*D82^2</f>
        <v>0.0290978028772937</v>
      </c>
      <c r="F82" s="7" t="n">
        <f aca="false">C82*Inputs!$B$9*E82/Inputs!$B$6*1000</f>
        <v>574.315531773265</v>
      </c>
      <c r="G82" s="12" t="n">
        <f aca="false">Inputs!$B$15+Inputs!$B$13*D82^2</f>
        <v>0.0185978028772937</v>
      </c>
      <c r="H82" s="7" t="n">
        <f aca="false">C82*Inputs!$B$9*G82/Inputs!$B$6*1000</f>
        <v>367.072630683815</v>
      </c>
      <c r="I82" s="10" t="n">
        <f aca="false">MAX(0,Inputs!$B$17*(1-A82/Inputs!$B$18))</f>
        <v>0</v>
      </c>
      <c r="J82" s="7" t="n">
        <f aca="false">D82/E82</f>
        <v>0.83229509486557</v>
      </c>
      <c r="K82" s="2" t="n">
        <f aca="false">IF(I82&gt;=F82,A82,0)</f>
        <v>0</v>
      </c>
      <c r="L82" s="2" t="n">
        <f aca="false">IF(I82&gt;=H82,A82,0)</f>
        <v>0</v>
      </c>
      <c r="M82" s="2" t="n">
        <f aca="false">IF(F82&gt;=Inputs!$B$5*1000,A82,"")</f>
        <v>93</v>
      </c>
      <c r="N82" s="2" t="str">
        <f aca="false">IF(D82&lt;=Inputs!$B$16,"yes","STALL")</f>
        <v>yes</v>
      </c>
    </row>
    <row r="83" customFormat="false" ht="15" hidden="false" customHeight="false" outlineLevel="0" collapsed="false">
      <c r="A83" s="6" t="n">
        <v>94</v>
      </c>
      <c r="B83" s="7" t="n">
        <f aca="false">A83*Inputs!$B$19</f>
        <v>210.27236</v>
      </c>
      <c r="C83" s="10" t="n">
        <f aca="false">0.5*Inputs!$B$8*A83^2</f>
        <v>5412.05</v>
      </c>
      <c r="D83" s="11" t="n">
        <f aca="false">Inputs!$B$7/(C83*Inputs!$B$9)</f>
        <v>0.0237054237193841</v>
      </c>
      <c r="E83" s="12" t="n">
        <f aca="false">Inputs!$B$14+Inputs!$B$13*D83^2</f>
        <v>0.0290937069950671</v>
      </c>
      <c r="F83" s="7" t="n">
        <f aca="false">C83*Inputs!$B$9*E83/Inputs!$B$6*1000</f>
        <v>586.650215928029</v>
      </c>
      <c r="G83" s="12" t="n">
        <f aca="false">Inputs!$B$15+Inputs!$B$13*D83^2</f>
        <v>0.0185937069950671</v>
      </c>
      <c r="H83" s="7" t="n">
        <f aca="false">C83*Inputs!$B$9*G83/Inputs!$B$6*1000</f>
        <v>374.926516769007</v>
      </c>
      <c r="I83" s="10" t="n">
        <f aca="false">MAX(0,Inputs!$B$17*(1-A83/Inputs!$B$18))</f>
        <v>0</v>
      </c>
      <c r="J83" s="7" t="n">
        <f aca="false">D83/E83</f>
        <v>0.814795574981331</v>
      </c>
      <c r="K83" s="2" t="n">
        <f aca="false">IF(I83&gt;=F83,A83,0)</f>
        <v>0</v>
      </c>
      <c r="L83" s="2" t="n">
        <f aca="false">IF(I83&gt;=H83,A83,0)</f>
        <v>0</v>
      </c>
      <c r="M83" s="2" t="n">
        <f aca="false">IF(F83&gt;=Inputs!$B$5*1000,A83,"")</f>
        <v>94</v>
      </c>
      <c r="N83" s="2" t="str">
        <f aca="false">IF(D83&lt;=Inputs!$B$16,"yes","STALL")</f>
        <v>yes</v>
      </c>
    </row>
    <row r="84" customFormat="false" ht="15" hidden="false" customHeight="false" outlineLevel="0" collapsed="false">
      <c r="A84" s="6" t="n">
        <v>95</v>
      </c>
      <c r="B84" s="7" t="n">
        <f aca="false">A84*Inputs!$B$19</f>
        <v>212.5093</v>
      </c>
      <c r="C84" s="10" t="n">
        <f aca="false">0.5*Inputs!$B$8*A84^2</f>
        <v>5527.8125</v>
      </c>
      <c r="D84" s="11" t="n">
        <f aca="false">Inputs!$B$7/(C84*Inputs!$B$9)</f>
        <v>0.0232089888071443</v>
      </c>
      <c r="E84" s="12" t="n">
        <f aca="false">Inputs!$B$14+Inputs!$B$13*D84^2</f>
        <v>0.0290898232996289</v>
      </c>
      <c r="F84" s="7" t="n">
        <f aca="false">C84*Inputs!$B$9*E84/Inputs!$B$6*1000</f>
        <v>599.118542077211</v>
      </c>
      <c r="G84" s="12" t="n">
        <f aca="false">Inputs!$B$15+Inputs!$B$13*D84^2</f>
        <v>0.0185898232996289</v>
      </c>
      <c r="H84" s="7" t="n">
        <f aca="false">C84*Inputs!$B$9*G84/Inputs!$B$6*1000</f>
        <v>382.866121874611</v>
      </c>
      <c r="I84" s="10" t="n">
        <f aca="false">MAX(0,Inputs!$B$17*(1-A84/Inputs!$B$18))</f>
        <v>0</v>
      </c>
      <c r="J84" s="7" t="n">
        <f aca="false">D84/E84</f>
        <v>0.797838768839837</v>
      </c>
      <c r="K84" s="2" t="n">
        <f aca="false">IF(I84&gt;=F84,A84,0)</f>
        <v>0</v>
      </c>
      <c r="L84" s="2" t="n">
        <f aca="false">IF(I84&gt;=H84,A84,0)</f>
        <v>0</v>
      </c>
      <c r="M84" s="2" t="n">
        <f aca="false">IF(F84&gt;=Inputs!$B$5*1000,A84,"")</f>
        <v>95</v>
      </c>
      <c r="N84" s="2" t="str">
        <f aca="false">IF(D84&lt;=Inputs!$B$16,"yes","STALL")</f>
        <v>yes</v>
      </c>
    </row>
    <row r="85" customFormat="false" ht="15" hidden="false" customHeight="false" outlineLevel="0" collapsed="false">
      <c r="A85" s="6" t="n">
        <v>96</v>
      </c>
      <c r="B85" s="7" t="n">
        <f aca="false">A85*Inputs!$B$19</f>
        <v>214.74624</v>
      </c>
      <c r="C85" s="10" t="n">
        <f aca="false">0.5*Inputs!$B$8*A85^2</f>
        <v>5644.8</v>
      </c>
      <c r="D85" s="11" t="n">
        <f aca="false">Inputs!$B$7/(C85*Inputs!$B$9)</f>
        <v>0.0227279865434546</v>
      </c>
      <c r="E85" s="12" t="n">
        <f aca="false">Inputs!$B$14+Inputs!$B$13*D85^2</f>
        <v>0.0290861387358104</v>
      </c>
      <c r="F85" s="7" t="n">
        <f aca="false">C85*Inputs!$B$9*E85/Inputs!$B$6*1000</f>
        <v>611.720457029281</v>
      </c>
      <c r="G85" s="12" t="n">
        <f aca="false">Inputs!$B$15+Inputs!$B$13*D85^2</f>
        <v>0.0185861387358104</v>
      </c>
      <c r="H85" s="7" t="n">
        <f aca="false">C85*Inputs!$B$9*G85/Inputs!$B$6*1000</f>
        <v>390.891392809097</v>
      </c>
      <c r="I85" s="10" t="n">
        <f aca="false">MAX(0,Inputs!$B$17*(1-A85/Inputs!$B$18))</f>
        <v>0</v>
      </c>
      <c r="J85" s="7" t="n">
        <f aca="false">D85/E85</f>
        <v>0.781402672588927</v>
      </c>
      <c r="K85" s="2" t="n">
        <f aca="false">IF(I85&gt;=F85,A85,0)</f>
        <v>0</v>
      </c>
      <c r="L85" s="2" t="n">
        <f aca="false">IF(I85&gt;=H85,A85,0)</f>
        <v>0</v>
      </c>
      <c r="M85" s="2" t="n">
        <f aca="false">IF(F85&gt;=Inputs!$B$5*1000,A85,"")</f>
        <v>96</v>
      </c>
      <c r="N85" s="2" t="str">
        <f aca="false">IF(D85&lt;=Inputs!$B$16,"yes","STALL")</f>
        <v>yes</v>
      </c>
    </row>
    <row r="86" customFormat="false" ht="15" hidden="false" customHeight="false" outlineLevel="0" collapsed="false">
      <c r="A86" s="6" t="n">
        <v>97</v>
      </c>
      <c r="B86" s="7" t="n">
        <f aca="false">A86*Inputs!$B$19</f>
        <v>216.98318</v>
      </c>
      <c r="C86" s="10" t="n">
        <f aca="false">0.5*Inputs!$B$8*A86^2</f>
        <v>5763.0125</v>
      </c>
      <c r="D86" s="11" t="n">
        <f aca="false">Inputs!$B$7/(C86*Inputs!$B$9)</f>
        <v>0.0222617838223485</v>
      </c>
      <c r="E86" s="12" t="n">
        <f aca="false">Inputs!$B$14+Inputs!$B$13*D86^2</f>
        <v>0.0290826411760233</v>
      </c>
      <c r="F86" s="7" t="n">
        <f aca="false">C86*Inputs!$B$9*E86/Inputs!$B$6*1000</f>
        <v>624.455910320333</v>
      </c>
      <c r="G86" s="12" t="n">
        <f aca="false">Inputs!$B$15+Inputs!$B$13*D86^2</f>
        <v>0.0185826411760233</v>
      </c>
      <c r="H86" s="7" t="n">
        <f aca="false">C86*Inputs!$B$9*G86/Inputs!$B$6*1000</f>
        <v>399.002279108559</v>
      </c>
      <c r="I86" s="10" t="n">
        <f aca="false">MAX(0,Inputs!$B$17*(1-A86/Inputs!$B$18))</f>
        <v>0</v>
      </c>
      <c r="J86" s="7" t="n">
        <f aca="false">D86/E86</f>
        <v>0.765466371764815</v>
      </c>
      <c r="K86" s="2" t="n">
        <f aca="false">IF(I86&gt;=F86,A86,0)</f>
        <v>0</v>
      </c>
      <c r="L86" s="2" t="n">
        <f aca="false">IF(I86&gt;=H86,A86,0)</f>
        <v>0</v>
      </c>
      <c r="M86" s="2" t="n">
        <f aca="false">IF(F86&gt;=Inputs!$B$5*1000,A86,"")</f>
        <v>97</v>
      </c>
      <c r="N86" s="2" t="str">
        <f aca="false">IF(D86&lt;=Inputs!$B$16,"yes","STALL")</f>
        <v>yes</v>
      </c>
    </row>
    <row r="87" customFormat="false" ht="15" hidden="false" customHeight="false" outlineLevel="0" collapsed="false">
      <c r="A87" s="6" t="n">
        <v>98</v>
      </c>
      <c r="B87" s="7" t="n">
        <f aca="false">A87*Inputs!$B$19</f>
        <v>219.22012</v>
      </c>
      <c r="C87" s="10" t="n">
        <f aca="false">0.5*Inputs!$B$8*A87^2</f>
        <v>5882.45</v>
      </c>
      <c r="D87" s="11" t="n">
        <f aca="false">Inputs!$B$7/(C87*Inputs!$B$9)</f>
        <v>0.0218097796735191</v>
      </c>
      <c r="E87" s="12" t="n">
        <f aca="false">Inputs!$B$14+Inputs!$B$13*D87^2</f>
        <v>0.0290793193456974</v>
      </c>
      <c r="F87" s="7" t="n">
        <f aca="false">C87*Inputs!$B$9*E87/Inputs!$B$6*1000</f>
        <v>637.324854047944</v>
      </c>
      <c r="G87" s="12" t="n">
        <f aca="false">Inputs!$B$15+Inputs!$B$13*D87^2</f>
        <v>0.0185793193456974</v>
      </c>
      <c r="H87" s="7" t="n">
        <f aca="false">C87*Inputs!$B$9*G87/Inputs!$B$6*1000</f>
        <v>407.198732870574</v>
      </c>
      <c r="I87" s="10" t="n">
        <f aca="false">MAX(0,Inputs!$B$17*(1-A87/Inputs!$B$18))</f>
        <v>0</v>
      </c>
      <c r="J87" s="7" t="n">
        <f aca="false">D87/E87</f>
        <v>0.750009978371315</v>
      </c>
      <c r="K87" s="2" t="n">
        <f aca="false">IF(I87&gt;=F87,A87,0)</f>
        <v>0</v>
      </c>
      <c r="L87" s="2" t="n">
        <f aca="false">IF(I87&gt;=H87,A87,0)</f>
        <v>0</v>
      </c>
      <c r="M87" s="2" t="n">
        <f aca="false">IF(F87&gt;=Inputs!$B$5*1000,A87,"")</f>
        <v>98</v>
      </c>
      <c r="N87" s="2" t="str">
        <f aca="false">IF(D87&lt;=Inputs!$B$16,"yes","STALL")</f>
        <v>yes</v>
      </c>
    </row>
    <row r="88" customFormat="false" ht="15" hidden="false" customHeight="false" outlineLevel="0" collapsed="false">
      <c r="A88" s="6" t="n">
        <v>99</v>
      </c>
      <c r="B88" s="7" t="n">
        <f aca="false">A88*Inputs!$B$19</f>
        <v>221.45706</v>
      </c>
      <c r="C88" s="10" t="n">
        <f aca="false">0.5*Inputs!$B$8*A88^2</f>
        <v>6003.1125</v>
      </c>
      <c r="D88" s="11" t="n">
        <f aca="false">Inputs!$B$7/(C88*Inputs!$B$9)</f>
        <v>0.0213714033246074</v>
      </c>
      <c r="E88" s="12" t="n">
        <f aca="false">Inputs!$B$14+Inputs!$B$13*D88^2</f>
        <v>0.0290761627553953</v>
      </c>
      <c r="F88" s="7" t="n">
        <f aca="false">C88*Inputs!$B$9*E88/Inputs!$B$6*1000</f>
        <v>650.327242716723</v>
      </c>
      <c r="G88" s="12" t="n">
        <f aca="false">Inputs!$B$15+Inputs!$B$13*D88^2</f>
        <v>0.0185761627553953</v>
      </c>
      <c r="H88" s="7" t="n">
        <f aca="false">C88*Inputs!$B$9*G88/Inputs!$B$6*1000</f>
        <v>415.48070859975</v>
      </c>
      <c r="I88" s="10" t="n">
        <f aca="false">MAX(0,Inputs!$B$17*(1-A88/Inputs!$B$18))</f>
        <v>0</v>
      </c>
      <c r="J88" s="7" t="n">
        <f aca="false">D88/E88</f>
        <v>0.735014572053247</v>
      </c>
      <c r="K88" s="2" t="n">
        <f aca="false">IF(I88&gt;=F88,A88,0)</f>
        <v>0</v>
      </c>
      <c r="L88" s="2" t="n">
        <f aca="false">IF(I88&gt;=H88,A88,0)</f>
        <v>0</v>
      </c>
      <c r="M88" s="2" t="n">
        <f aca="false">IF(F88&gt;=Inputs!$B$5*1000,A88,"")</f>
        <v>99</v>
      </c>
      <c r="N88" s="2" t="str">
        <f aca="false">IF(D88&lt;=Inputs!$B$16,"yes","STALL")</f>
        <v>yes</v>
      </c>
    </row>
    <row r="89" customFormat="false" ht="15" hidden="false" customHeight="false" outlineLevel="0" collapsed="false">
      <c r="A89" s="6" t="n">
        <v>100</v>
      </c>
      <c r="B89" s="7" t="n">
        <f aca="false">A89*Inputs!$B$19</f>
        <v>223.694</v>
      </c>
      <c r="C89" s="10" t="n">
        <f aca="false">0.5*Inputs!$B$8*A89^2</f>
        <v>6125</v>
      </c>
      <c r="D89" s="11" t="n">
        <f aca="false">Inputs!$B$7/(C89*Inputs!$B$9)</f>
        <v>0.0209461123984478</v>
      </c>
      <c r="E89" s="12" t="n">
        <f aca="false">Inputs!$B$14+Inputs!$B$13*D89^2</f>
        <v>0.0290731616389433</v>
      </c>
      <c r="F89" s="7" t="n">
        <f aca="false">C89*Inputs!$B$9*E89/Inputs!$B$6*1000</f>
        <v>663.463033094618</v>
      </c>
      <c r="G89" s="12" t="n">
        <f aca="false">Inputs!$B$15+Inputs!$B$13*D89^2</f>
        <v>0.0185731616389433</v>
      </c>
      <c r="H89" s="7" t="n">
        <f aca="false">C89*Inputs!$B$9*G89/Inputs!$B$6*1000</f>
        <v>423.848163064037</v>
      </c>
      <c r="I89" s="10" t="n">
        <f aca="false">MAX(0,Inputs!$B$17*(1-A89/Inputs!$B$18))</f>
        <v>0</v>
      </c>
      <c r="J89" s="7" t="n">
        <f aca="false">D89/E89</f>
        <v>0.72046214507302</v>
      </c>
      <c r="K89" s="2" t="n">
        <f aca="false">IF(I89&gt;=F89,A89,0)</f>
        <v>0</v>
      </c>
      <c r="L89" s="2" t="n">
        <f aca="false">IF(I89&gt;=H89,A89,0)</f>
        <v>0</v>
      </c>
      <c r="M89" s="2" t="n">
        <f aca="false">IF(F89&gt;=Inputs!$B$5*1000,A89,"")</f>
        <v>100</v>
      </c>
      <c r="N89" s="2" t="str">
        <f aca="false">IF(D89&lt;=Inputs!$B$16,"yes","STALL")</f>
        <v>yes</v>
      </c>
    </row>
    <row r="90" customFormat="false" ht="15" hidden="false" customHeight="false" outlineLevel="0" collapsed="false">
      <c r="A90" s="6" t="n">
        <v>101</v>
      </c>
      <c r="B90" s="7" t="n">
        <f aca="false">A90*Inputs!$B$19</f>
        <v>225.93094</v>
      </c>
      <c r="C90" s="10" t="n">
        <f aca="false">0.5*Inputs!$B$8*A90^2</f>
        <v>6248.1125</v>
      </c>
      <c r="D90" s="11" t="n">
        <f aca="false">Inputs!$B$7/(C90*Inputs!$B$9)</f>
        <v>0.0205333912346317</v>
      </c>
      <c r="E90" s="12" t="n">
        <f aca="false">Inputs!$B$14+Inputs!$B$13*D90^2</f>
        <v>0.0290703068969947</v>
      </c>
      <c r="F90" s="7" t="n">
        <f aca="false">C90*Inputs!$B$9*E90/Inputs!$B$6*1000</f>
        <v>676.732184079126</v>
      </c>
      <c r="G90" s="12" t="n">
        <f aca="false">Inputs!$B$15+Inputs!$B$13*D90^2</f>
        <v>0.0185703068969947</v>
      </c>
      <c r="H90" s="7" t="n">
        <f aca="false">C90*Inputs!$B$9*G90/Inputs!$B$6*1000</f>
        <v>432.301055160931</v>
      </c>
      <c r="I90" s="10" t="n">
        <f aca="false">MAX(0,Inputs!$B$17*(1-A90/Inputs!$B$18))</f>
        <v>0</v>
      </c>
      <c r="J90" s="7" t="n">
        <f aca="false">D90/E90</f>
        <v>0.706335550821254</v>
      </c>
      <c r="K90" s="2" t="n">
        <f aca="false">IF(I90&gt;=F90,A90,0)</f>
        <v>0</v>
      </c>
      <c r="L90" s="2" t="n">
        <f aca="false">IF(I90&gt;=H90,A90,0)</f>
        <v>0</v>
      </c>
      <c r="M90" s="2" t="n">
        <f aca="false">IF(F90&gt;=Inputs!$B$5*1000,A90,"")</f>
        <v>101</v>
      </c>
      <c r="N90" s="2" t="str">
        <f aca="false">IF(D90&lt;=Inputs!$B$16,"yes","STALL")</f>
        <v>yes</v>
      </c>
    </row>
    <row r="91" customFormat="false" ht="15" hidden="false" customHeight="false" outlineLevel="0" collapsed="false">
      <c r="A91" s="6" t="n">
        <v>102</v>
      </c>
      <c r="B91" s="7" t="n">
        <f aca="false">A91*Inputs!$B$19</f>
        <v>228.16788</v>
      </c>
      <c r="C91" s="10" t="n">
        <f aca="false">0.5*Inputs!$B$8*A91^2</f>
        <v>6372.45</v>
      </c>
      <c r="D91" s="11" t="n">
        <f aca="false">Inputs!$B$7/(C91*Inputs!$B$9)</f>
        <v>0.0201327493256899</v>
      </c>
      <c r="E91" s="12" t="n">
        <f aca="false">Inputs!$B$14+Inputs!$B$13*D91^2</f>
        <v>0.0290675900454984</v>
      </c>
      <c r="F91" s="7" t="n">
        <f aca="false">C91*Inputs!$B$9*E91/Inputs!$B$6*1000</f>
        <v>690.13465657265</v>
      </c>
      <c r="G91" s="12" t="n">
        <f aca="false">Inputs!$B$15+Inputs!$B$13*D91^2</f>
        <v>0.0185675900454984</v>
      </c>
      <c r="H91" s="7" t="n">
        <f aca="false">C91*Inputs!$B$9*G91/Inputs!$B$6*1000</f>
        <v>440.839345792834</v>
      </c>
      <c r="I91" s="10" t="n">
        <f aca="false">MAX(0,Inputs!$B$17*(1-A91/Inputs!$B$18))</f>
        <v>0</v>
      </c>
      <c r="J91" s="7" t="n">
        <f aca="false">D91/E91</f>
        <v>0.692618455612483</v>
      </c>
      <c r="K91" s="2" t="n">
        <f aca="false">IF(I91&gt;=F91,A91,0)</f>
        <v>0</v>
      </c>
      <c r="L91" s="2" t="n">
        <f aca="false">IF(I91&gt;=H91,A91,0)</f>
        <v>0</v>
      </c>
      <c r="M91" s="2" t="n">
        <f aca="false">IF(F91&gt;=Inputs!$B$5*1000,A91,"")</f>
        <v>102</v>
      </c>
      <c r="N91" s="2" t="str">
        <f aca="false">IF(D91&lt;=Inputs!$B$16,"yes","STALL")</f>
        <v>yes</v>
      </c>
    </row>
    <row r="92" customFormat="false" ht="15" hidden="false" customHeight="false" outlineLevel="0" collapsed="false">
      <c r="A92" s="6" t="n">
        <v>103</v>
      </c>
      <c r="B92" s="7" t="n">
        <f aca="false">A92*Inputs!$B$19</f>
        <v>230.40482</v>
      </c>
      <c r="C92" s="10" t="n">
        <f aca="false">0.5*Inputs!$B$8*A92^2</f>
        <v>6498.0125</v>
      </c>
      <c r="D92" s="11" t="n">
        <f aca="false">Inputs!$B$7/(C92*Inputs!$B$9)</f>
        <v>0.0197437198590327</v>
      </c>
      <c r="E92" s="12" t="n">
        <f aca="false">Inputs!$B$14+Inputs!$B$13*D92^2</f>
        <v>0.0290650031686054</v>
      </c>
      <c r="F92" s="7" t="n">
        <f aca="false">C92*Inputs!$B$9*E92/Inputs!$B$6*1000</f>
        <v>703.670413366273</v>
      </c>
      <c r="G92" s="12" t="n">
        <f aca="false">Inputs!$B$15+Inputs!$B$13*D92^2</f>
        <v>0.0185650031686054</v>
      </c>
      <c r="H92" s="7" t="n">
        <f aca="false">C92*Inputs!$B$9*G92/Inputs!$B$6*1000</f>
        <v>449.462997750829</v>
      </c>
      <c r="I92" s="10" t="n">
        <f aca="false">MAX(0,Inputs!$B$17*(1-A92/Inputs!$B$18))</f>
        <v>0</v>
      </c>
      <c r="J92" s="7" t="n">
        <f aca="false">D92/E92</f>
        <v>0.679295293535658</v>
      </c>
      <c r="K92" s="2" t="n">
        <f aca="false">IF(I92&gt;=F92,A92,0)</f>
        <v>0</v>
      </c>
      <c r="L92" s="2" t="n">
        <f aca="false">IF(I92&gt;=H92,A92,0)</f>
        <v>0</v>
      </c>
      <c r="M92" s="2" t="n">
        <f aca="false">IF(F92&gt;=Inputs!$B$5*1000,A92,"")</f>
        <v>103</v>
      </c>
      <c r="N92" s="2" t="str">
        <f aca="false">IF(D92&lt;=Inputs!$B$16,"yes","STALL")</f>
        <v>yes</v>
      </c>
    </row>
    <row r="93" customFormat="false" ht="15" hidden="false" customHeight="false" outlineLevel="0" collapsed="false">
      <c r="A93" s="6" t="n">
        <v>104</v>
      </c>
      <c r="B93" s="7" t="n">
        <f aca="false">A93*Inputs!$B$19</f>
        <v>232.64176</v>
      </c>
      <c r="C93" s="10" t="n">
        <f aca="false">0.5*Inputs!$B$8*A93^2</f>
        <v>6624.8</v>
      </c>
      <c r="D93" s="11" t="n">
        <f aca="false">Inputs!$B$7/(C93*Inputs!$B$9)</f>
        <v>0.019365858356553</v>
      </c>
      <c r="E93" s="12" t="n">
        <f aca="false">Inputs!$B$14+Inputs!$B$13*D93^2</f>
        <v>0.0290625388755914</v>
      </c>
      <c r="F93" s="7" t="n">
        <f aca="false">C93*Inputs!$B$9*E93/Inputs!$B$6*1000</f>
        <v>717.339419031325</v>
      </c>
      <c r="G93" s="12" t="n">
        <f aca="false">Inputs!$B$15+Inputs!$B$13*D93^2</f>
        <v>0.0185625388755914</v>
      </c>
      <c r="H93" s="7" t="n">
        <f aca="false">C93*Inputs!$B$9*G93/Inputs!$B$6*1000</f>
        <v>458.171975606249</v>
      </c>
      <c r="I93" s="10" t="n">
        <f aca="false">MAX(0,Inputs!$B$17*(1-A93/Inputs!$B$18))</f>
        <v>0</v>
      </c>
      <c r="J93" s="7" t="n">
        <f aca="false">D93/E93</f>
        <v>0.666351224146413</v>
      </c>
      <c r="K93" s="2" t="n">
        <f aca="false">IF(I93&gt;=F93,A93,0)</f>
        <v>0</v>
      </c>
      <c r="L93" s="2" t="n">
        <f aca="false">IF(I93&gt;=H93,A93,0)</f>
        <v>0</v>
      </c>
      <c r="M93" s="2" t="n">
        <f aca="false">IF(F93&gt;=Inputs!$B$5*1000,A93,"")</f>
        <v>104</v>
      </c>
      <c r="N93" s="2" t="str">
        <f aca="false">IF(D93&lt;=Inputs!$B$16,"yes","STALL")</f>
        <v>yes</v>
      </c>
    </row>
    <row r="94" customFormat="false" ht="15" hidden="false" customHeight="false" outlineLevel="0" collapsed="false">
      <c r="A94" s="6" t="n">
        <v>105</v>
      </c>
      <c r="B94" s="7" t="n">
        <f aca="false">A94*Inputs!$B$19</f>
        <v>234.8787</v>
      </c>
      <c r="C94" s="10" t="n">
        <f aca="false">0.5*Inputs!$B$8*A94^2</f>
        <v>6752.8125</v>
      </c>
      <c r="D94" s="11" t="n">
        <f aca="false">Inputs!$B$7/(C94*Inputs!$B$9)</f>
        <v>0.0189987414044878</v>
      </c>
      <c r="E94" s="12" t="n">
        <f aca="false">Inputs!$B$14+Inputs!$B$13*D94^2</f>
        <v>0.0290601902614185</v>
      </c>
      <c r="F94" s="7" t="n">
        <f aca="false">C94*Inputs!$B$9*E94/Inputs!$B$6*1000</f>
        <v>731.141639818145</v>
      </c>
      <c r="G94" s="12" t="n">
        <f aca="false">Inputs!$B$15+Inputs!$B$13*D94^2</f>
        <v>0.0185601902614185</v>
      </c>
      <c r="H94" s="7" t="n">
        <f aca="false">C94*Inputs!$B$9*G94/Inputs!$B$6*1000</f>
        <v>466.966245609429</v>
      </c>
      <c r="I94" s="10" t="n">
        <f aca="false">MAX(0,Inputs!$B$17*(1-A94/Inputs!$B$18))</f>
        <v>0</v>
      </c>
      <c r="J94" s="7" t="n">
        <f aca="false">D94/E94</f>
        <v>0.653772092803923</v>
      </c>
      <c r="K94" s="2" t="n">
        <f aca="false">IF(I94&gt;=F94,A94,0)</f>
        <v>0</v>
      </c>
      <c r="L94" s="2" t="n">
        <f aca="false">IF(I94&gt;=H94,A94,0)</f>
        <v>0</v>
      </c>
      <c r="M94" s="2" t="n">
        <f aca="false">IF(F94&gt;=Inputs!$B$5*1000,A94,"")</f>
        <v>105</v>
      </c>
      <c r="N94" s="2" t="str">
        <f aca="false">IF(D94&lt;=Inputs!$B$16,"yes","STALL")</f>
        <v>yes</v>
      </c>
    </row>
    <row r="95" customFormat="false" ht="15" hidden="false" customHeight="false" outlineLevel="0" collapsed="false">
      <c r="A95" s="6" t="n">
        <v>106</v>
      </c>
      <c r="B95" s="7" t="n">
        <f aca="false">A95*Inputs!$B$19</f>
        <v>237.11564</v>
      </c>
      <c r="C95" s="10" t="n">
        <f aca="false">0.5*Inputs!$B$8*A95^2</f>
        <v>6882.05</v>
      </c>
      <c r="D95" s="11" t="n">
        <f aca="false">Inputs!$B$7/(C95*Inputs!$B$9)</f>
        <v>0.0186419654667566</v>
      </c>
      <c r="E95" s="12" t="n">
        <f aca="false">Inputs!$B$14+Inputs!$B$13*D95^2</f>
        <v>0.0290579508705991</v>
      </c>
      <c r="F95" s="7" t="n">
        <f aca="false">C95*Inputs!$B$9*E95/Inputs!$B$6*1000</f>
        <v>745.077043561488</v>
      </c>
      <c r="G95" s="12" t="n">
        <f aca="false">Inputs!$B$15+Inputs!$B$13*D95^2</f>
        <v>0.0185579508705991</v>
      </c>
      <c r="H95" s="7" t="n">
        <f aca="false">C95*Inputs!$B$9*G95/Inputs!$B$6*1000</f>
        <v>475.845775595127</v>
      </c>
      <c r="I95" s="10" t="n">
        <f aca="false">MAX(0,Inputs!$B$17*(1-A95/Inputs!$B$18))</f>
        <v>0</v>
      </c>
      <c r="J95" s="7" t="n">
        <f aca="false">D95/E95</f>
        <v>0.641544393469899</v>
      </c>
      <c r="K95" s="2" t="n">
        <f aca="false">IF(I95&gt;=F95,A95,0)</f>
        <v>0</v>
      </c>
      <c r="L95" s="2" t="n">
        <f aca="false">IF(I95&gt;=H95,A95,0)</f>
        <v>0</v>
      </c>
      <c r="M95" s="2" t="n">
        <f aca="false">IF(F95&gt;=Inputs!$B$5*1000,A95,"")</f>
        <v>106</v>
      </c>
      <c r="N95" s="2" t="str">
        <f aca="false">IF(D95&lt;=Inputs!$B$16,"yes","STALL")</f>
        <v>yes</v>
      </c>
    </row>
    <row r="96" customFormat="false" ht="15" hidden="false" customHeight="false" outlineLevel="0" collapsed="false">
      <c r="A96" s="6" t="n">
        <v>107</v>
      </c>
      <c r="B96" s="7" t="n">
        <f aca="false">A96*Inputs!$B$19</f>
        <v>239.35258</v>
      </c>
      <c r="C96" s="10" t="n">
        <f aca="false">0.5*Inputs!$B$8*A96^2</f>
        <v>7012.5125</v>
      </c>
      <c r="D96" s="11" t="n">
        <f aca="false">Inputs!$B$7/(C96*Inputs!$B$9)</f>
        <v>0.018295145775568</v>
      </c>
      <c r="E96" s="12" t="n">
        <f aca="false">Inputs!$B$14+Inputs!$B$13*D96^2</f>
        <v>0.0290558146640554</v>
      </c>
      <c r="F96" s="7" t="n">
        <f aca="false">C96*Inputs!$B$9*E96/Inputs!$B$6*1000</f>
        <v>759.145599592105</v>
      </c>
      <c r="G96" s="12" t="n">
        <f aca="false">Inputs!$B$15+Inputs!$B$13*D96^2</f>
        <v>0.0185558146640554</v>
      </c>
      <c r="H96" s="7" t="n">
        <f aca="false">C96*Inputs!$B$9*G96/Inputs!$B$6*1000</f>
        <v>484.810534894092</v>
      </c>
      <c r="I96" s="10" t="n">
        <f aca="false">MAX(0,Inputs!$B$17*(1-A96/Inputs!$B$18))</f>
        <v>0</v>
      </c>
      <c r="J96" s="7" t="n">
        <f aca="false">D96/E96</f>
        <v>0.62965523380078</v>
      </c>
      <c r="K96" s="2" t="n">
        <f aca="false">IF(I96&gt;=F96,A96,0)</f>
        <v>0</v>
      </c>
      <c r="L96" s="2" t="n">
        <f aca="false">IF(I96&gt;=H96,A96,0)</f>
        <v>0</v>
      </c>
      <c r="M96" s="2" t="n">
        <f aca="false">IF(F96&gt;=Inputs!$B$5*1000,A96,"")</f>
        <v>107</v>
      </c>
      <c r="N96" s="2" t="str">
        <f aca="false">IF(D96&lt;=Inputs!$B$16,"yes","STALL")</f>
        <v>yes</v>
      </c>
    </row>
    <row r="97" customFormat="false" ht="15" hidden="false" customHeight="false" outlineLevel="0" collapsed="false">
      <c r="A97" s="6" t="n">
        <v>108</v>
      </c>
      <c r="B97" s="7" t="n">
        <f aca="false">A97*Inputs!$B$19</f>
        <v>241.58952</v>
      </c>
      <c r="C97" s="10" t="n">
        <f aca="false">0.5*Inputs!$B$8*A97^2</f>
        <v>7144.2</v>
      </c>
      <c r="D97" s="11" t="n">
        <f aca="false">Inputs!$B$7/(C97*Inputs!$B$9)</f>
        <v>0.0179579152935938</v>
      </c>
      <c r="E97" s="12" t="n">
        <f aca="false">Inputs!$B$14+Inputs!$B$13*D97^2</f>
        <v>0.0290537759887029</v>
      </c>
      <c r="F97" s="7" t="n">
        <f aca="false">C97*Inputs!$B$9*E97/Inputs!$B$6*1000</f>
        <v>773.347278654011</v>
      </c>
      <c r="G97" s="12" t="n">
        <f aca="false">Inputs!$B$15+Inputs!$B$13*D97^2</f>
        <v>0.0185537759887029</v>
      </c>
      <c r="H97" s="7" t="n">
        <f aca="false">C97*Inputs!$B$9*G97/Inputs!$B$6*1000</f>
        <v>493.860494250341</v>
      </c>
      <c r="I97" s="10" t="n">
        <f aca="false">MAX(0,Inputs!$B$17*(1-A97/Inputs!$B$18))</f>
        <v>0</v>
      </c>
      <c r="J97" s="7" t="n">
        <f aca="false">D97/E97</f>
        <v>0.618092302376683</v>
      </c>
      <c r="K97" s="2" t="n">
        <f aca="false">IF(I97&gt;=F97,A97,0)</f>
        <v>0</v>
      </c>
      <c r="L97" s="2" t="n">
        <f aca="false">IF(I97&gt;=H97,A97,0)</f>
        <v>0</v>
      </c>
      <c r="M97" s="2" t="n">
        <f aca="false">IF(F97&gt;=Inputs!$B$5*1000,A97,"")</f>
        <v>108</v>
      </c>
      <c r="N97" s="2" t="str">
        <f aca="false">IF(D97&lt;=Inputs!$B$16,"yes","STALL")</f>
        <v>yes</v>
      </c>
    </row>
    <row r="98" customFormat="false" ht="15" hidden="false" customHeight="false" outlineLevel="0" collapsed="false">
      <c r="A98" s="6" t="n">
        <v>109</v>
      </c>
      <c r="B98" s="7" t="n">
        <f aca="false">A98*Inputs!$B$19</f>
        <v>243.82646</v>
      </c>
      <c r="C98" s="10" t="n">
        <f aca="false">0.5*Inputs!$B$8*A98^2</f>
        <v>7277.1125</v>
      </c>
      <c r="D98" s="11" t="n">
        <f aca="false">Inputs!$B$7/(C98*Inputs!$B$9)</f>
        <v>0.0176299237424861</v>
      </c>
      <c r="E98" s="12" t="n">
        <f aca="false">Inputs!$B$14+Inputs!$B$13*D98^2</f>
        <v>0.0290518295495103</v>
      </c>
      <c r="F98" s="7" t="n">
        <f aca="false">C98*Inputs!$B$9*E98/Inputs!$B$6*1000</f>
        <v>787.682052827057</v>
      </c>
      <c r="G98" s="12" t="n">
        <f aca="false">Inputs!$B$15+Inputs!$B$13*D98^2</f>
        <v>0.0185518295495103</v>
      </c>
      <c r="H98" s="7" t="n">
        <f aca="false">C98*Inputs!$B$9*G98/Inputs!$B$6*1000</f>
        <v>502.995625743723</v>
      </c>
      <c r="I98" s="10" t="n">
        <f aca="false">MAX(0,Inputs!$B$17*(1-A98/Inputs!$B$18))</f>
        <v>0</v>
      </c>
      <c r="J98" s="7" t="n">
        <f aca="false">D98/E98</f>
        <v>0.60684383792219</v>
      </c>
      <c r="K98" s="2" t="n">
        <f aca="false">IF(I98&gt;=F98,A98,0)</f>
        <v>0</v>
      </c>
      <c r="L98" s="2" t="n">
        <f aca="false">IF(I98&gt;=H98,A98,0)</f>
        <v>0</v>
      </c>
      <c r="M98" s="2" t="n">
        <f aca="false">IF(F98&gt;=Inputs!$B$5*1000,A98,"")</f>
        <v>109</v>
      </c>
      <c r="N98" s="2" t="str">
        <f aca="false">IF(D98&lt;=Inputs!$B$16,"yes","STALL")</f>
        <v>yes</v>
      </c>
    </row>
    <row r="99" customFormat="false" ht="15" hidden="false" customHeight="false" outlineLevel="0" collapsed="false">
      <c r="A99" s="6" t="n">
        <v>110</v>
      </c>
      <c r="B99" s="7" t="n">
        <f aca="false">A99*Inputs!$B$19</f>
        <v>246.0634</v>
      </c>
      <c r="C99" s="10" t="n">
        <f aca="false">0.5*Inputs!$B$8*A99^2</f>
        <v>7411.25</v>
      </c>
      <c r="D99" s="11" t="n">
        <f aca="false">Inputs!$B$7/(C99*Inputs!$B$9)</f>
        <v>0.017310836692932</v>
      </c>
      <c r="E99" s="12" t="n">
        <f aca="false">Inputs!$B$14+Inputs!$B$13*D99^2</f>
        <v>0.0290499703838149</v>
      </c>
      <c r="F99" s="7" t="n">
        <f aca="false">C99*Inputs!$B$9*E99/Inputs!$B$6*1000</f>
        <v>802.149895454394</v>
      </c>
      <c r="G99" s="12" t="n">
        <f aca="false">Inputs!$B$15+Inputs!$B$13*D99^2</f>
        <v>0.0185499703838149</v>
      </c>
      <c r="H99" s="7" t="n">
        <f aca="false">C99*Inputs!$B$9*G99/Inputs!$B$6*1000</f>
        <v>512.215902717391</v>
      </c>
      <c r="I99" s="10" t="n">
        <f aca="false">MAX(0,Inputs!$B$17*(1-A99/Inputs!$B$18))</f>
        <v>0</v>
      </c>
      <c r="J99" s="7" t="n">
        <f aca="false">D99/E99</f>
        <v>0.595898600384692</v>
      </c>
      <c r="K99" s="2" t="n">
        <f aca="false">IF(I99&gt;=F99,A99,0)</f>
        <v>0</v>
      </c>
      <c r="L99" s="2" t="n">
        <f aca="false">IF(I99&gt;=H99,A99,0)</f>
        <v>0</v>
      </c>
      <c r="M99" s="2" t="n">
        <f aca="false">IF(F99&gt;=Inputs!$B$5*1000,A99,"")</f>
        <v>110</v>
      </c>
      <c r="N99" s="2" t="str">
        <f aca="false">IF(D99&lt;=Inputs!$B$16,"yes","STALL")</f>
        <v>yes</v>
      </c>
    </row>
    <row r="100" customFormat="false" ht="15" hidden="false" customHeight="false" outlineLevel="0" collapsed="false">
      <c r="A100" s="6" t="n">
        <v>111</v>
      </c>
      <c r="B100" s="7" t="n">
        <f aca="false">A100*Inputs!$B$19</f>
        <v>248.30034</v>
      </c>
      <c r="C100" s="10" t="n">
        <f aca="false">0.5*Inputs!$B$8*A100^2</f>
        <v>7546.6125</v>
      </c>
      <c r="D100" s="11" t="n">
        <f aca="false">Inputs!$B$7/(C100*Inputs!$B$9)</f>
        <v>0.0170003347118316</v>
      </c>
      <c r="E100" s="12" t="n">
        <f aca="false">Inputs!$B$14+Inputs!$B$13*D100^2</f>
        <v>0.0290481938376912</v>
      </c>
      <c r="F100" s="7" t="n">
        <f aca="false">C100*Inputs!$B$9*E100/Inputs!$B$6*1000</f>
        <v>816.750781074499</v>
      </c>
      <c r="G100" s="12" t="n">
        <f aca="false">Inputs!$B$15+Inputs!$B$13*D100^2</f>
        <v>0.0185481938376912</v>
      </c>
      <c r="H100" s="7" t="n">
        <f aca="false">C100*Inputs!$B$9*G100/Inputs!$B$6*1000</f>
        <v>521.52129970982</v>
      </c>
      <c r="I100" s="10" t="n">
        <f aca="false">MAX(0,Inputs!$B$17*(1-A100/Inputs!$B$18))</f>
        <v>0</v>
      </c>
      <c r="J100" s="7" t="n">
        <f aca="false">D100/E100</f>
        <v>0.585245843745817</v>
      </c>
      <c r="K100" s="2" t="n">
        <f aca="false">IF(I100&gt;=F100,A100,0)</f>
        <v>0</v>
      </c>
      <c r="L100" s="2" t="n">
        <f aca="false">IF(I100&gt;=H100,A100,0)</f>
        <v>0</v>
      </c>
      <c r="M100" s="2" t="n">
        <f aca="false">IF(F100&gt;=Inputs!$B$5*1000,A100,"")</f>
        <v>111</v>
      </c>
      <c r="N100" s="2" t="str">
        <f aca="false">IF(D100&lt;=Inputs!$B$16,"yes","STALL")</f>
        <v>yes</v>
      </c>
    </row>
    <row r="101" customFormat="false" ht="15" hidden="false" customHeight="false" outlineLevel="0" collapsed="false">
      <c r="A101" s="6" t="n">
        <v>112</v>
      </c>
      <c r="B101" s="7" t="n">
        <f aca="false">A101*Inputs!$B$19</f>
        <v>250.53728</v>
      </c>
      <c r="C101" s="10" t="n">
        <f aca="false">0.5*Inputs!$B$8*A101^2</f>
        <v>7683.2</v>
      </c>
      <c r="D101" s="11" t="n">
        <f aca="false">Inputs!$B$7/(C101*Inputs!$B$9)</f>
        <v>0.0166981125625381</v>
      </c>
      <c r="E101" s="12" t="n">
        <f aca="false">Inputs!$B$14+Inputs!$B$13*D101^2</f>
        <v>0.0290464955441942</v>
      </c>
      <c r="F101" s="7" t="n">
        <f aca="false">C101*Inputs!$B$9*E101/Inputs!$B$6*1000</f>
        <v>831.484685357426</v>
      </c>
      <c r="G101" s="12" t="n">
        <f aca="false">Inputs!$B$15+Inputs!$B$13*D101^2</f>
        <v>0.0185464955441942</v>
      </c>
      <c r="H101" s="7" t="n">
        <f aca="false">C101*Inputs!$B$9*G101/Inputs!$B$6*1000</f>
        <v>530.911792391065</v>
      </c>
      <c r="I101" s="10" t="n">
        <f aca="false">MAX(0,Inputs!$B$17*(1-A101/Inputs!$B$18))</f>
        <v>0</v>
      </c>
      <c r="J101" s="7" t="n">
        <f aca="false">D101/E101</f>
        <v>0.574875290450509</v>
      </c>
      <c r="K101" s="2" t="n">
        <f aca="false">IF(I101&gt;=F101,A101,0)</f>
        <v>0</v>
      </c>
      <c r="L101" s="2" t="n">
        <f aca="false">IF(I101&gt;=H101,A101,0)</f>
        <v>0</v>
      </c>
      <c r="M101" s="2" t="n">
        <f aca="false">IF(F101&gt;=Inputs!$B$5*1000,A101,"")</f>
        <v>112</v>
      </c>
      <c r="N101" s="2" t="str">
        <f aca="false">IF(D101&lt;=Inputs!$B$16,"yes","STALL")</f>
        <v>yes</v>
      </c>
    </row>
    <row r="102" customFormat="false" ht="15" hidden="false" customHeight="false" outlineLevel="0" collapsed="false">
      <c r="A102" s="6" t="n">
        <v>113</v>
      </c>
      <c r="B102" s="7" t="n">
        <f aca="false">A102*Inputs!$B$19</f>
        <v>252.77422</v>
      </c>
      <c r="C102" s="10" t="n">
        <f aca="false">0.5*Inputs!$B$8*A102^2</f>
        <v>7821.0125</v>
      </c>
      <c r="D102" s="11" t="n">
        <f aca="false">Inputs!$B$7/(C102*Inputs!$B$9)</f>
        <v>0.0164038784544191</v>
      </c>
      <c r="E102" s="12" t="n">
        <f aca="false">Inputs!$B$14+Inputs!$B$13*D102^2</f>
        <v>0.0290448714033117</v>
      </c>
      <c r="F102" s="7" t="n">
        <f aca="false">C102*Inputs!$B$9*E102/Inputs!$B$6*1000</f>
        <v>846.351585044991</v>
      </c>
      <c r="G102" s="12" t="n">
        <f aca="false">Inputs!$B$15+Inputs!$B$13*D102^2</f>
        <v>0.0185448714033117</v>
      </c>
      <c r="H102" s="7" t="n">
        <f aca="false">C102*Inputs!$B$9*G102/Inputs!$B$6*1000</f>
        <v>540.387357502942</v>
      </c>
      <c r="I102" s="10" t="n">
        <f aca="false">MAX(0,Inputs!$B$17*(1-A102/Inputs!$B$18))</f>
        <v>0</v>
      </c>
      <c r="J102" s="7" t="n">
        <f aca="false">D102/E102</f>
        <v>0.564777107346695</v>
      </c>
      <c r="K102" s="2" t="n">
        <f aca="false">IF(I102&gt;=F102,A102,0)</f>
        <v>0</v>
      </c>
      <c r="L102" s="2" t="n">
        <f aca="false">IF(I102&gt;=H102,A102,0)</f>
        <v>0</v>
      </c>
      <c r="M102" s="2" t="n">
        <f aca="false">IF(F102&gt;=Inputs!$B$5*1000,A102,"")</f>
        <v>113</v>
      </c>
      <c r="N102" s="2" t="str">
        <f aca="false">IF(D102&lt;=Inputs!$B$16,"yes","STALL")</f>
        <v>yes</v>
      </c>
    </row>
    <row r="103" customFormat="false" ht="15" hidden="false" customHeight="false" outlineLevel="0" collapsed="false">
      <c r="A103" s="6" t="n">
        <v>114</v>
      </c>
      <c r="B103" s="7" t="n">
        <f aca="false">A103*Inputs!$B$19</f>
        <v>255.01116</v>
      </c>
      <c r="C103" s="10" t="n">
        <f aca="false">0.5*Inputs!$B$8*A103^2</f>
        <v>7960.05</v>
      </c>
      <c r="D103" s="11" t="n">
        <f aca="false">Inputs!$B$7/(C103*Inputs!$B$9)</f>
        <v>0.0161173533382947</v>
      </c>
      <c r="E103" s="12" t="n">
        <f aca="false">Inputs!$B$14+Inputs!$B$13*D103^2</f>
        <v>0.0290433175634784</v>
      </c>
      <c r="F103" s="7" t="n">
        <f aca="false">C103*Inputs!$B$9*E103/Inputs!$B$6*1000</f>
        <v>861.351457894611</v>
      </c>
      <c r="G103" s="12" t="n">
        <f aca="false">Inputs!$B$15+Inputs!$B$13*D103^2</f>
        <v>0.0185433175634784</v>
      </c>
      <c r="H103" s="7" t="n">
        <f aca="false">C103*Inputs!$B$9*G103/Inputs!$B$6*1000</f>
        <v>549.947972802868</v>
      </c>
      <c r="I103" s="10" t="n">
        <f aca="false">MAX(0,Inputs!$B$17*(1-A103/Inputs!$B$18))</f>
        <v>0</v>
      </c>
      <c r="J103" s="7" t="n">
        <f aca="false">D103/E103</f>
        <v>0.554941883036187</v>
      </c>
      <c r="K103" s="2" t="n">
        <f aca="false">IF(I103&gt;=F103,A103,0)</f>
        <v>0</v>
      </c>
      <c r="L103" s="2" t="n">
        <f aca="false">IF(I103&gt;=H103,A103,0)</f>
        <v>0</v>
      </c>
      <c r="M103" s="2" t="n">
        <f aca="false">IF(F103&gt;=Inputs!$B$5*1000,A103,"")</f>
        <v>114</v>
      </c>
      <c r="N103" s="2" t="str">
        <f aca="false">IF(D103&lt;=Inputs!$B$16,"yes","STALL")</f>
        <v>yes</v>
      </c>
    </row>
    <row r="104" customFormat="false" ht="15" hidden="false" customHeight="false" outlineLevel="0" collapsed="false">
      <c r="A104" s="6" t="n">
        <v>115</v>
      </c>
      <c r="B104" s="7" t="n">
        <f aca="false">A104*Inputs!$B$19</f>
        <v>257.2481</v>
      </c>
      <c r="C104" s="10" t="n">
        <f aca="false">0.5*Inputs!$B$8*A104^2</f>
        <v>8100.3125</v>
      </c>
      <c r="D104" s="11" t="n">
        <f aca="false">Inputs!$B$7/(C104*Inputs!$B$9)</f>
        <v>0.015838270244573</v>
      </c>
      <c r="E104" s="12" t="n">
        <f aca="false">Inputs!$B$14+Inputs!$B$13*D104^2</f>
        <v>0.0290418304045188</v>
      </c>
      <c r="F104" s="7" t="n">
        <f aca="false">C104*Inputs!$B$9*E104/Inputs!$B$6*1000</f>
        <v>876.48428262655</v>
      </c>
      <c r="G104" s="12" t="n">
        <f aca="false">Inputs!$B$15+Inputs!$B$13*D104^2</f>
        <v>0.0185418304045188</v>
      </c>
      <c r="H104" s="7" t="n">
        <f aca="false">C104*Inputs!$B$9*G104/Inputs!$B$6*1000</f>
        <v>559.593617011106</v>
      </c>
      <c r="I104" s="10" t="n">
        <f aca="false">MAX(0,Inputs!$B$17*(1-A104/Inputs!$B$18))</f>
        <v>0</v>
      </c>
      <c r="J104" s="7" t="n">
        <f aca="false">D104/E104</f>
        <v>0.545360606544573</v>
      </c>
      <c r="K104" s="2" t="n">
        <f aca="false">IF(I104&gt;=F104,A104,0)</f>
        <v>0</v>
      </c>
      <c r="L104" s="2" t="n">
        <f aca="false">IF(I104&gt;=H104,A104,0)</f>
        <v>0</v>
      </c>
      <c r="M104" s="2" t="n">
        <f aca="false">IF(F104&gt;=Inputs!$B$5*1000,A104,"")</f>
        <v>115</v>
      </c>
      <c r="N104" s="2" t="str">
        <f aca="false">IF(D104&lt;=Inputs!$B$16,"yes","STALL")</f>
        <v>yes</v>
      </c>
    </row>
    <row r="105" customFormat="false" ht="15" hidden="false" customHeight="false" outlineLevel="0" collapsed="false">
      <c r="A105" s="6" t="n">
        <v>116</v>
      </c>
      <c r="B105" s="7" t="n">
        <f aca="false">A105*Inputs!$B$19</f>
        <v>259.48504</v>
      </c>
      <c r="C105" s="10" t="n">
        <f aca="false">0.5*Inputs!$B$8*A105^2</f>
        <v>8241.8</v>
      </c>
      <c r="D105" s="11" t="n">
        <f aca="false">Inputs!$B$7/(C105*Inputs!$B$9)</f>
        <v>0.0155663736611532</v>
      </c>
      <c r="E105" s="12" t="n">
        <f aca="false">Inputs!$B$14+Inputs!$B$13*D105^2</f>
        <v>0.0290404065218948</v>
      </c>
      <c r="F105" s="7" t="n">
        <f aca="false">C105*Inputs!$B$9*E105/Inputs!$B$6*1000</f>
        <v>891.750038874329</v>
      </c>
      <c r="G105" s="12" t="n">
        <f aca="false">Inputs!$B$15+Inputs!$B$13*D105^2</f>
        <v>0.0185404065218948</v>
      </c>
      <c r="H105" s="7" t="n">
        <f aca="false">C105*Inputs!$B$9*G105/Inputs!$B$6*1000</f>
        <v>569.324269761179</v>
      </c>
      <c r="I105" s="10" t="n">
        <f aca="false">MAX(0,Inputs!$B$17*(1-A105/Inputs!$B$18))</f>
        <v>0</v>
      </c>
      <c r="J105" s="7" t="n">
        <f aca="false">D105/E105</f>
        <v>0.536024647224448</v>
      </c>
      <c r="K105" s="2" t="n">
        <f aca="false">IF(I105&gt;=F105,A105,0)</f>
        <v>0</v>
      </c>
      <c r="L105" s="2" t="n">
        <f aca="false">IF(I105&gt;=H105,A105,0)</f>
        <v>0</v>
      </c>
      <c r="M105" s="2" t="n">
        <f aca="false">IF(F105&gt;=Inputs!$B$5*1000,A105,"")</f>
        <v>116</v>
      </c>
      <c r="N105" s="2" t="str">
        <f aca="false">IF(D105&lt;=Inputs!$B$16,"yes","STALL")</f>
        <v>yes</v>
      </c>
    </row>
    <row r="106" customFormat="false" ht="15" hidden="false" customHeight="false" outlineLevel="0" collapsed="false">
      <c r="A106" s="6" t="n">
        <v>117</v>
      </c>
      <c r="B106" s="7" t="n">
        <f aca="false">A106*Inputs!$B$19</f>
        <v>261.72198</v>
      </c>
      <c r="C106" s="10" t="n">
        <f aca="false">0.5*Inputs!$B$8*A106^2</f>
        <v>8384.5125</v>
      </c>
      <c r="D106" s="11" t="n">
        <f aca="false">Inputs!$B$7/(C106*Inputs!$B$9)</f>
        <v>0.0153014189483876</v>
      </c>
      <c r="E106" s="12" t="n">
        <f aca="false">Inputs!$B$14+Inputs!$B$13*D106^2</f>
        <v>0.0290390427121509</v>
      </c>
      <c r="F106" s="7" t="n">
        <f aca="false">C106*Inputs!$B$9*E106/Inputs!$B$6*1000</f>
        <v>907.148707138096</v>
      </c>
      <c r="G106" s="12" t="n">
        <f aca="false">Inputs!$B$15+Inputs!$B$13*D106^2</f>
        <v>0.0185390427121509</v>
      </c>
      <c r="H106" s="7" t="n">
        <f aca="false">C106*Inputs!$B$9*G106/Inputs!$B$6*1000</f>
        <v>579.139911553233</v>
      </c>
      <c r="I106" s="10" t="n">
        <f aca="false">MAX(0,Inputs!$B$17*(1-A106/Inputs!$B$18))</f>
        <v>0</v>
      </c>
      <c r="J106" s="7" t="n">
        <f aca="false">D106/E106</f>
        <v>0.526925735812391</v>
      </c>
      <c r="K106" s="2" t="n">
        <f aca="false">IF(I106&gt;=F106,A106,0)</f>
        <v>0</v>
      </c>
      <c r="L106" s="2" t="n">
        <f aca="false">IF(I106&gt;=H106,A106,0)</f>
        <v>0</v>
      </c>
      <c r="M106" s="2" t="n">
        <f aca="false">IF(F106&gt;=Inputs!$B$5*1000,A106,"")</f>
        <v>117</v>
      </c>
      <c r="N106" s="2" t="str">
        <f aca="false">IF(D106&lt;=Inputs!$B$16,"yes","STALL")</f>
        <v>yes</v>
      </c>
    </row>
    <row r="107" customFormat="false" ht="15" hidden="false" customHeight="false" outlineLevel="0" collapsed="false">
      <c r="A107" s="6" t="n">
        <v>118</v>
      </c>
      <c r="B107" s="7" t="n">
        <f aca="false">A107*Inputs!$B$19</f>
        <v>263.95892</v>
      </c>
      <c r="C107" s="10" t="n">
        <f aca="false">0.5*Inputs!$B$8*A107^2</f>
        <v>8528.45</v>
      </c>
      <c r="D107" s="11" t="n">
        <f aca="false">Inputs!$B$7/(C107*Inputs!$B$9)</f>
        <v>0.0150431717886008</v>
      </c>
      <c r="E107" s="12" t="n">
        <f aca="false">Inputs!$B$14+Inputs!$B$13*D107^2</f>
        <v>0.0290377359594549</v>
      </c>
      <c r="F107" s="7" t="n">
        <f aca="false">C107*Inputs!$B$9*E107/Inputs!$B$6*1000</f>
        <v>922.680268740748</v>
      </c>
      <c r="G107" s="12" t="n">
        <f aca="false">Inputs!$B$15+Inputs!$B$13*D107^2</f>
        <v>0.0185377359594549</v>
      </c>
      <c r="H107" s="7" t="n">
        <f aca="false">C107*Inputs!$B$9*G107/Inputs!$B$6*1000</f>
        <v>589.040523710167</v>
      </c>
      <c r="I107" s="10" t="n">
        <f aca="false">MAX(0,Inputs!$B$17*(1-A107/Inputs!$B$18))</f>
        <v>0</v>
      </c>
      <c r="J107" s="7" t="n">
        <f aca="false">D107/E107</f>
        <v>0.518055946565719</v>
      </c>
      <c r="K107" s="2" t="n">
        <f aca="false">IF(I107&gt;=F107,A107,0)</f>
        <v>0</v>
      </c>
      <c r="L107" s="2" t="n">
        <f aca="false">IF(I107&gt;=H107,A107,0)</f>
        <v>0</v>
      </c>
      <c r="M107" s="2" t="n">
        <f aca="false">IF(F107&gt;=Inputs!$B$5*1000,A107,"")</f>
        <v>118</v>
      </c>
      <c r="N107" s="2" t="str">
        <f aca="false">IF(D107&lt;=Inputs!$B$16,"yes","STALL")</f>
        <v>yes</v>
      </c>
    </row>
    <row r="108" customFormat="false" ht="15" hidden="false" customHeight="false" outlineLevel="0" collapsed="false">
      <c r="A108" s="6" t="n">
        <v>119</v>
      </c>
      <c r="B108" s="7" t="n">
        <f aca="false">A108*Inputs!$B$19</f>
        <v>266.19586</v>
      </c>
      <c r="C108" s="10" t="n">
        <f aca="false">0.5*Inputs!$B$8*A108^2</f>
        <v>8673.6125</v>
      </c>
      <c r="D108" s="11" t="n">
        <f aca="false">Inputs!$B$7/(C108*Inputs!$B$9)</f>
        <v>0.0147914076678538</v>
      </c>
      <c r="E108" s="12" t="n">
        <f aca="false">Inputs!$B$14+Inputs!$B$13*D108^2</f>
        <v>0.0290364834231428</v>
      </c>
      <c r="F108" s="7" t="n">
        <f aca="false">C108*Inputs!$B$9*E108/Inputs!$B$6*1000</f>
        <v>938.344705786624</v>
      </c>
      <c r="G108" s="12" t="n">
        <f aca="false">Inputs!$B$15+Inputs!$B$13*D108^2</f>
        <v>0.0185364834231428</v>
      </c>
      <c r="H108" s="7" t="n">
        <f aca="false">C108*Inputs!$B$9*G108/Inputs!$B$6*1000</f>
        <v>599.026088336318</v>
      </c>
      <c r="I108" s="10" t="n">
        <f aca="false">MAX(0,Inputs!$B$17*(1-A108/Inputs!$B$18))</f>
        <v>0</v>
      </c>
      <c r="J108" s="7" t="n">
        <f aca="false">D108/E108</f>
        <v>0.509407680410247</v>
      </c>
      <c r="K108" s="2" t="n">
        <f aca="false">IF(I108&gt;=F108,A108,0)</f>
        <v>0</v>
      </c>
      <c r="L108" s="2" t="n">
        <f aca="false">IF(I108&gt;=H108,A108,0)</f>
        <v>0</v>
      </c>
      <c r="M108" s="2" t="n">
        <f aca="false">IF(F108&gt;=Inputs!$B$5*1000,A108,"")</f>
        <v>119</v>
      </c>
      <c r="N108" s="2" t="str">
        <f aca="false">IF(D108&lt;=Inputs!$B$16,"yes","STALL")</f>
        <v>yes</v>
      </c>
    </row>
    <row r="109" customFormat="false" ht="15" hidden="false" customHeight="false" outlineLevel="0" collapsed="false">
      <c r="A109" s="6" t="n">
        <v>120</v>
      </c>
      <c r="B109" s="7" t="n">
        <f aca="false">A109*Inputs!$B$19</f>
        <v>268.4328</v>
      </c>
      <c r="C109" s="10" t="n">
        <f aca="false">0.5*Inputs!$B$8*A109^2</f>
        <v>8820</v>
      </c>
      <c r="D109" s="11" t="n">
        <f aca="false">Inputs!$B$7/(C109*Inputs!$B$9)</f>
        <v>0.0145459113878109</v>
      </c>
      <c r="E109" s="12" t="n">
        <f aca="false">Inputs!$B$14+Inputs!$B$13*D109^2</f>
        <v>0.029035282426188</v>
      </c>
      <c r="F109" s="7" t="n">
        <f aca="false">C109*Inputs!$B$9*E109/Inputs!$B$6*1000</f>
        <v>954.142001122593</v>
      </c>
      <c r="G109" s="12" t="n">
        <f aca="false">Inputs!$B$15+Inputs!$B$13*D109^2</f>
        <v>0.018535282426188</v>
      </c>
      <c r="H109" s="7" t="n">
        <f aca="false">C109*Inputs!$B$9*G109/Inputs!$B$6*1000</f>
        <v>609.096588278556</v>
      </c>
      <c r="I109" s="10" t="n">
        <f aca="false">MAX(0,Inputs!$B$17*(1-A109/Inputs!$B$18))</f>
        <v>0</v>
      </c>
      <c r="J109" s="7" t="n">
        <f aca="false">D109/E109</f>
        <v>0.50097364903506</v>
      </c>
      <c r="K109" s="2" t="n">
        <f aca="false">IF(I109&gt;=F109,A109,0)</f>
        <v>0</v>
      </c>
      <c r="L109" s="2" t="n">
        <f aca="false">IF(I109&gt;=H109,A109,0)</f>
        <v>0</v>
      </c>
      <c r="M109" s="2" t="n">
        <f aca="false">IF(F109&gt;=Inputs!$B$5*1000,A109,"")</f>
        <v>120</v>
      </c>
      <c r="N109" s="2" t="str">
        <f aca="false">IF(D109&lt;=Inputs!$B$16,"yes","STALL")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9" t="s">
        <v>88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26.85" hidden="false" customHeight="false" outlineLevel="0" collapsed="false">
      <c r="A3" s="4" t="s">
        <v>49</v>
      </c>
      <c r="B3" s="4" t="s">
        <v>50</v>
      </c>
      <c r="C3" s="4" t="s">
        <v>51</v>
      </c>
      <c r="D3" s="4" t="s">
        <v>89</v>
      </c>
      <c r="E3" s="4" t="s">
        <v>90</v>
      </c>
      <c r="F3" s="4" t="s">
        <v>91</v>
      </c>
      <c r="G3" s="4" t="s">
        <v>92</v>
      </c>
    </row>
    <row r="4" customFormat="false" ht="15" hidden="false" customHeight="false" outlineLevel="0" collapsed="false">
      <c r="A4" s="2" t="s">
        <v>93</v>
      </c>
      <c r="B4" s="6" t="n">
        <v>18</v>
      </c>
      <c r="C4" s="10" t="n">
        <f aca="false">B4*Inputs!$B$19</f>
        <v>40.26492</v>
      </c>
      <c r="D4" s="2"/>
      <c r="E4" s="2"/>
      <c r="F4" s="2"/>
      <c r="G4" s="2"/>
    </row>
    <row r="5" customFormat="false" ht="15" hidden="false" customHeight="false" outlineLevel="0" collapsed="false">
      <c r="A5" s="2" t="s">
        <v>94</v>
      </c>
      <c r="B5" s="6" t="n">
        <v>24.5</v>
      </c>
      <c r="C5" s="10" t="n">
        <f aca="false">B5*Inputs!$B$19</f>
        <v>54.80503</v>
      </c>
      <c r="D5" s="6" t="n">
        <v>67</v>
      </c>
      <c r="E5" s="6" t="n">
        <v>54</v>
      </c>
      <c r="F5" s="6" t="n">
        <v>7.1</v>
      </c>
      <c r="G5" s="6" t="n">
        <v>8.9</v>
      </c>
    </row>
    <row r="6" customFormat="false" ht="15" hidden="false" customHeight="false" outlineLevel="0" collapsed="false">
      <c r="A6" s="2" t="s">
        <v>95</v>
      </c>
      <c r="B6" s="6" t="n">
        <v>32.3</v>
      </c>
      <c r="C6" s="10" t="n">
        <f aca="false">B6*Inputs!$B$19</f>
        <v>72.253162</v>
      </c>
      <c r="D6" s="6" t="n">
        <v>81</v>
      </c>
      <c r="E6" s="6" t="n">
        <v>56</v>
      </c>
      <c r="F6" s="6" t="n">
        <v>5.9</v>
      </c>
      <c r="G6" s="6" t="n">
        <v>8.6</v>
      </c>
    </row>
    <row r="7" customFormat="false" ht="15" hidden="false" customHeight="false" outlineLevel="0" collapsed="false">
      <c r="A7" s="2" t="s">
        <v>96</v>
      </c>
      <c r="B7" s="6" t="n">
        <v>49.9</v>
      </c>
      <c r="C7" s="10" t="n">
        <f aca="false">B7*Inputs!$B$19</f>
        <v>111.623306</v>
      </c>
      <c r="D7" s="6" t="n">
        <v>150</v>
      </c>
      <c r="E7" s="2"/>
      <c r="F7" s="2"/>
      <c r="G7" s="2"/>
    </row>
    <row r="8" customFormat="false" ht="15" hidden="false" customHeight="false" outlineLevel="0" collapsed="false">
      <c r="A8" s="2" t="s">
        <v>97</v>
      </c>
      <c r="B8" s="6" t="n">
        <v>53.7</v>
      </c>
      <c r="C8" s="10" t="n">
        <f aca="false">B8*Inputs!$B$19</f>
        <v>120.123678</v>
      </c>
      <c r="D8" s="2"/>
      <c r="E8" s="6" t="n">
        <v>105</v>
      </c>
      <c r="F8" s="2"/>
      <c r="G8" s="2"/>
    </row>
    <row r="9" customFormat="false" ht="15" hidden="false" customHeight="false" outlineLevel="0" collapsed="false">
      <c r="A9" s="2" t="s">
        <v>98</v>
      </c>
      <c r="B9" s="6" t="n">
        <v>93</v>
      </c>
      <c r="C9" s="10" t="n">
        <f aca="false">B9*Inputs!$B$19</f>
        <v>208.03542</v>
      </c>
      <c r="D9" s="6" t="n">
        <v>478</v>
      </c>
      <c r="E9" s="2"/>
      <c r="F9" s="6" t="n">
        <v>1</v>
      </c>
      <c r="G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3" t="s">
        <v>99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100</v>
      </c>
      <c r="B1" s="2"/>
      <c r="C1" s="2"/>
      <c r="D1" s="2"/>
    </row>
    <row r="2" customFormat="false" ht="15" hidden="false" customHeight="false" outlineLevel="0" collapsed="false">
      <c r="A2" s="3" t="s">
        <v>101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2" t="s">
        <v>102</v>
      </c>
      <c r="B5" s="13" t="n">
        <f aca="false">'Cruise Summary'!B9</f>
        <v>48</v>
      </c>
      <c r="C5" s="2" t="s">
        <v>39</v>
      </c>
      <c r="D5" s="2" t="s">
        <v>103</v>
      </c>
    </row>
    <row r="6" customFormat="false" ht="15" hidden="false" customHeight="false" outlineLevel="0" collapsed="false">
      <c r="A6" s="2" t="s">
        <v>104</v>
      </c>
      <c r="B6" s="11" t="n">
        <f aca="false">0.5*Inputs!B8*B5^2</f>
        <v>1411.2</v>
      </c>
      <c r="C6" s="2" t="s">
        <v>105</v>
      </c>
      <c r="D6" s="2" t="s">
        <v>14</v>
      </c>
    </row>
    <row r="7" customFormat="false" ht="15" hidden="false" customHeight="false" outlineLevel="0" collapsed="false">
      <c r="A7" s="2" t="s">
        <v>106</v>
      </c>
      <c r="B7" s="6" t="n">
        <v>0.00328</v>
      </c>
      <c r="C7" s="2" t="s">
        <v>19</v>
      </c>
      <c r="D7" s="2" t="s">
        <v>107</v>
      </c>
    </row>
    <row r="8" customFormat="false" ht="15" hidden="false" customHeight="false" outlineLevel="0" collapsed="false">
      <c r="A8" s="2" t="s">
        <v>108</v>
      </c>
      <c r="B8" s="6" t="n">
        <v>0.06</v>
      </c>
      <c r="C8" s="2" t="s">
        <v>22</v>
      </c>
      <c r="D8" s="2" t="s">
        <v>109</v>
      </c>
    </row>
    <row r="9" customFormat="false" ht="15" hidden="false" customHeight="false" outlineLevel="0" collapsed="false">
      <c r="A9" s="2" t="s">
        <v>110</v>
      </c>
      <c r="B9" s="6" t="n">
        <v>0.05</v>
      </c>
      <c r="C9" s="2" t="s">
        <v>25</v>
      </c>
      <c r="D9" s="2" t="s">
        <v>111</v>
      </c>
    </row>
    <row r="10" customFormat="false" ht="15" hidden="false" customHeight="false" outlineLevel="0" collapsed="false">
      <c r="A10" s="2" t="s">
        <v>112</v>
      </c>
      <c r="B10" s="6" t="n">
        <v>2</v>
      </c>
      <c r="C10" s="2" t="s">
        <v>25</v>
      </c>
      <c r="D10" s="2" t="s">
        <v>113</v>
      </c>
    </row>
    <row r="11" customFormat="false" ht="15" hidden="false" customHeight="false" outlineLevel="0" collapsed="false">
      <c r="A11" s="2" t="s">
        <v>114</v>
      </c>
      <c r="B11" s="11" t="n">
        <f aca="false">B9*B6*B7*B8*B10</f>
        <v>0.027772416</v>
      </c>
      <c r="C11" s="2" t="s">
        <v>115</v>
      </c>
      <c r="D11" s="2" t="s">
        <v>14</v>
      </c>
    </row>
    <row r="12" customFormat="false" ht="15" hidden="false" customHeight="false" outlineLevel="0" collapsed="false">
      <c r="A12" s="2" t="s">
        <v>114</v>
      </c>
      <c r="B12" s="11" t="n">
        <f aca="false">B11/9.81*100</f>
        <v>0.283103119266055</v>
      </c>
      <c r="C12" s="2" t="s">
        <v>116</v>
      </c>
      <c r="D12" s="2" t="s">
        <v>14</v>
      </c>
    </row>
    <row r="13" customFormat="false" ht="15" hidden="false" customHeight="false" outlineLevel="0" collapsed="false">
      <c r="A13" s="2" t="s">
        <v>117</v>
      </c>
      <c r="B13" s="6" t="n">
        <v>3</v>
      </c>
      <c r="C13" s="2" t="s">
        <v>25</v>
      </c>
      <c r="D13" s="2" t="s">
        <v>118</v>
      </c>
    </row>
    <row r="14" customFormat="false" ht="15" hidden="false" customHeight="false" outlineLevel="0" collapsed="false">
      <c r="A14" s="2" t="s">
        <v>119</v>
      </c>
      <c r="B14" s="11" t="n">
        <f aca="false">B12*B13</f>
        <v>0.849309357798165</v>
      </c>
      <c r="C14" s="2" t="s">
        <v>116</v>
      </c>
      <c r="D14" s="2" t="s">
        <v>14</v>
      </c>
    </row>
    <row r="15" customFormat="false" ht="15" hidden="false" customHeight="false" outlineLevel="0" collapsed="false">
      <c r="A15" s="2" t="s">
        <v>120</v>
      </c>
      <c r="B15" s="6" t="n">
        <v>2</v>
      </c>
      <c r="C15" s="2" t="s">
        <v>116</v>
      </c>
      <c r="D15" s="2" t="s">
        <v>121</v>
      </c>
    </row>
    <row r="16" customFormat="false" ht="15" hidden="false" customHeight="false" outlineLevel="0" collapsed="false">
      <c r="A16" s="2" t="s">
        <v>122</v>
      </c>
      <c r="B16" s="6" t="n">
        <v>12.8</v>
      </c>
      <c r="C16" s="2" t="s">
        <v>123</v>
      </c>
      <c r="D16" s="2" t="s">
        <v>121</v>
      </c>
    </row>
    <row r="17" customFormat="false" ht="15" hidden="false" customHeight="false" outlineLevel="0" collapsed="false">
      <c r="A17" s="2" t="s">
        <v>124</v>
      </c>
      <c r="B17" s="11" t="n">
        <f aca="false">B15/B14</f>
        <v>2.35485454344339</v>
      </c>
      <c r="C17" s="2" t="s">
        <v>125</v>
      </c>
      <c r="D17" s="2" t="s">
        <v>126</v>
      </c>
    </row>
    <row r="18" customFormat="false" ht="15" hidden="false" customHeight="false" outlineLevel="0" collapsed="false">
      <c r="A18" s="2" t="s">
        <v>127</v>
      </c>
      <c r="B18" s="2" t="str">
        <f aca="false">IF(B17&gt;=1,"Adequate","Undersized")</f>
        <v>Adequate</v>
      </c>
      <c r="C18" s="2"/>
      <c r="D18" s="2"/>
    </row>
    <row r="19" customFormat="false" ht="15" hidden="false" customHeight="false" outlineLevel="0" collapsed="false">
      <c r="A19" s="2" t="s">
        <v>128</v>
      </c>
      <c r="B19" s="2" t="s">
        <v>129</v>
      </c>
      <c r="C19" s="2"/>
      <c r="D19" s="2" t="s">
        <v>130</v>
      </c>
    </row>
    <row r="20" customFormat="false" ht="15" hidden="false" customHeight="false" outlineLevel="0" collapsed="false">
      <c r="A20" s="2" t="s">
        <v>131</v>
      </c>
      <c r="B20" s="2"/>
      <c r="C20" s="2"/>
      <c r="D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2026-10-12T23:38:45Z</dcterms:created>
  <dc:creator>openpyxl</dc:creator>
  <dc:description/>
  <dc:language>en-US</dc:language>
  <cp:lastModifiedBy/>
  <dcterms:modified xsi:type="dcterms:W3CDTF">2026-10-12T23:38:45Z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